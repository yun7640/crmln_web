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내 드라이브\00_2026\표준화과제\CRMLN\CRMLN_검토\"/>
    </mc:Choice>
  </mc:AlternateContent>
  <xr:revisionPtr revIDLastSave="0" documentId="13_ncr:1_{F3AF0603-E913-4C63-8071-5844E6CEDAF6}" xr6:coauthVersionLast="47" xr6:coauthVersionMax="47" xr10:uidLastSave="{00000000-0000-0000-0000-000000000000}"/>
  <bookViews>
    <workbookView xWindow="-103" yWindow="-103" windowWidth="33120" windowHeight="18000" activeTab="4" xr2:uid="{00000000-000D-0000-FFFF-FFFF00000000}"/>
  </bookViews>
  <sheets>
    <sheet name="검토_가이드" sheetId="1" r:id="rId1"/>
    <sheet name="RESULT(Conc)_DAY1" sheetId="2" r:id="rId2"/>
    <sheet name="RESULT(Conc)_DAY2" sheetId="3" r:id="rId3"/>
    <sheet name="2026-07_결과정리" sheetId="4" r:id="rId4"/>
    <sheet name="제출결과_선택검토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" i="6" l="1"/>
  <c r="AF16" i="6"/>
  <c r="AF17" i="6"/>
  <c r="AF18" i="6"/>
  <c r="AF25" i="6"/>
  <c r="AF26" i="6"/>
  <c r="AF33" i="6"/>
  <c r="AF34" i="6"/>
  <c r="P15" i="6"/>
  <c r="P16" i="6"/>
  <c r="P17" i="6"/>
  <c r="P18" i="6"/>
  <c r="P25" i="6"/>
  <c r="P26" i="6"/>
  <c r="P33" i="6"/>
  <c r="P34" i="6"/>
  <c r="AP15" i="6" a="1"/>
  <c r="AP15" i="6"/>
  <c r="AQ15" i="6" a="1"/>
  <c r="AQ15" i="6" s="1"/>
  <c r="AP16" i="6" a="1"/>
  <c r="AP16" i="6"/>
  <c r="AQ16" i="6" a="1"/>
  <c r="AQ16" i="6"/>
  <c r="AP17" i="6" a="1"/>
  <c r="AP17" i="6"/>
  <c r="AQ17" i="6" a="1"/>
  <c r="AQ17" i="6"/>
  <c r="AP18" i="6" a="1"/>
  <c r="AP18" i="6" s="1"/>
  <c r="AQ18" i="6" a="1"/>
  <c r="AQ18" i="6"/>
  <c r="AP19" i="6" a="1"/>
  <c r="AP19" i="6"/>
  <c r="M19" i="6" s="1" a="1"/>
  <c r="M19" i="6" s="1"/>
  <c r="O19" i="6" s="1"/>
  <c r="AQ19" i="6" a="1"/>
  <c r="AQ19" i="6"/>
  <c r="AC19" i="6" s="1" a="1"/>
  <c r="AC19" i="6" s="1"/>
  <c r="AP20" i="6" a="1"/>
  <c r="AP20" i="6"/>
  <c r="AQ20" i="6" a="1"/>
  <c r="AQ20" i="6" s="1"/>
  <c r="AC20" i="6" s="1" a="1"/>
  <c r="AC20" i="6" s="1"/>
  <c r="AP21" i="6" a="1"/>
  <c r="AP21" i="6"/>
  <c r="AQ21" i="6" a="1"/>
  <c r="AQ21" i="6"/>
  <c r="AC21" i="6" s="1" a="1"/>
  <c r="AC21" i="6" s="1"/>
  <c r="AP22" i="6" a="1"/>
  <c r="AP22" i="6"/>
  <c r="M22" i="6" s="1" a="1"/>
  <c r="M22" i="6" s="1"/>
  <c r="O22" i="6" s="1"/>
  <c r="AQ22" i="6" a="1"/>
  <c r="AQ22" i="6"/>
  <c r="AP23" i="6" a="1"/>
  <c r="AP23" i="6" s="1"/>
  <c r="M23" i="6" s="1" a="1"/>
  <c r="M23" i="6" s="1"/>
  <c r="O23" i="6" s="1"/>
  <c r="AQ23" i="6" a="1"/>
  <c r="AQ23" i="6"/>
  <c r="AP24" i="6" a="1"/>
  <c r="AP24" i="6"/>
  <c r="M24" i="6" s="1" a="1"/>
  <c r="M24" i="6" s="1"/>
  <c r="O24" i="6" s="1"/>
  <c r="AQ24" i="6" a="1"/>
  <c r="AQ24" i="6"/>
  <c r="AC24" i="6" s="1" a="1"/>
  <c r="AC24" i="6" s="1"/>
  <c r="AP25" i="6" a="1"/>
  <c r="AP25" i="6"/>
  <c r="AQ25" i="6" a="1"/>
  <c r="AQ25" i="6" s="1"/>
  <c r="AP26" i="6" a="1"/>
  <c r="AP26" i="6"/>
  <c r="AQ26" i="6" a="1"/>
  <c r="AQ26" i="6"/>
  <c r="AP27" i="6" a="1"/>
  <c r="AP27" i="6"/>
  <c r="M27" i="6" s="1" a="1"/>
  <c r="M27" i="6" s="1"/>
  <c r="O27" i="6" s="1"/>
  <c r="AQ27" i="6" a="1"/>
  <c r="AQ27" i="6"/>
  <c r="AP28" i="6" a="1"/>
  <c r="AP28" i="6" s="1"/>
  <c r="M28" i="6" s="1" a="1"/>
  <c r="M28" i="6" s="1"/>
  <c r="O28" i="6" s="1"/>
  <c r="AQ28" i="6" a="1"/>
  <c r="AQ28" i="6"/>
  <c r="AC28" i="6" s="1" a="1"/>
  <c r="AC28" i="6" s="1"/>
  <c r="AP29" i="6" a="1"/>
  <c r="AP29" i="6"/>
  <c r="M29" i="6" s="1" a="1"/>
  <c r="M29" i="6" s="1"/>
  <c r="O29" i="6" s="1"/>
  <c r="AQ29" i="6" a="1"/>
  <c r="AQ29" i="6"/>
  <c r="AC29" i="6" s="1" a="1"/>
  <c r="AC29" i="6" s="1"/>
  <c r="AP30" i="6" a="1"/>
  <c r="AP30" i="6"/>
  <c r="AQ30" i="6" a="1"/>
  <c r="AQ30" i="6" s="1"/>
  <c r="AC30" i="6" s="1" a="1"/>
  <c r="AC30" i="6" s="1"/>
  <c r="AP31" i="6" a="1"/>
  <c r="AP31" i="6"/>
  <c r="M31" i="6" s="1" a="1"/>
  <c r="M31" i="6" s="1"/>
  <c r="O31" i="6" s="1"/>
  <c r="AQ31" i="6" a="1"/>
  <c r="AQ31" i="6"/>
  <c r="AC31" i="6" s="1" a="1"/>
  <c r="AC31" i="6" s="1"/>
  <c r="AP32" i="6" a="1"/>
  <c r="AP32" i="6"/>
  <c r="M32" i="6" s="1" a="1"/>
  <c r="M32" i="6" s="1"/>
  <c r="O32" i="6" s="1"/>
  <c r="AQ32" i="6" a="1"/>
  <c r="AQ32" i="6" s="1"/>
  <c r="AC32" i="6" s="1" a="1"/>
  <c r="AC32" i="6" s="1"/>
  <c r="AP33" i="6" a="1"/>
  <c r="AP33" i="6" s="1"/>
  <c r="AQ33" i="6" a="1"/>
  <c r="AQ33" i="6"/>
  <c r="AP34" i="6" a="1"/>
  <c r="AP34" i="6"/>
  <c r="AQ34" i="6" a="1"/>
  <c r="AQ34" i="6"/>
  <c r="AP35" i="6" a="1"/>
  <c r="AP35" i="6" s="1"/>
  <c r="M35" i="6" s="1" a="1"/>
  <c r="M35" i="6" s="1"/>
  <c r="O35" i="6" s="1"/>
  <c r="AQ35" i="6" a="1"/>
  <c r="AQ35" i="6" s="1"/>
  <c r="AC35" i="6" s="1" a="1"/>
  <c r="AC35" i="6" s="1"/>
  <c r="AP36" i="6" a="1"/>
  <c r="AP36" i="6"/>
  <c r="AQ36" i="6" a="1"/>
  <c r="AQ36" i="6"/>
  <c r="AP37" i="6" a="1"/>
  <c r="AP37" i="6"/>
  <c r="M37" i="6" s="1" a="1"/>
  <c r="M37" i="6" s="1"/>
  <c r="O37" i="6" s="1"/>
  <c r="AQ37" i="6" a="1"/>
  <c r="AQ37" i="6" s="1"/>
  <c r="AC37" i="6" s="1" a="1"/>
  <c r="AC37" i="6" s="1"/>
  <c r="AP38" i="6" a="1"/>
  <c r="AP38" i="6" s="1"/>
  <c r="M38" i="6" s="1" a="1"/>
  <c r="M38" i="6" s="1"/>
  <c r="O38" i="6" s="1"/>
  <c r="AQ38" i="6" a="1"/>
  <c r="AQ38" i="6"/>
  <c r="AC38" i="6" s="1" a="1"/>
  <c r="AC38" i="6" s="1"/>
  <c r="AP39" i="6" a="1"/>
  <c r="AP39" i="6"/>
  <c r="AQ39" i="6" a="1"/>
  <c r="AQ39" i="6"/>
  <c r="AC39" i="6" s="1" a="1"/>
  <c r="AC39" i="6" s="1"/>
  <c r="AP40" i="6" a="1"/>
  <c r="AP40" i="6" s="1"/>
  <c r="M40" i="6" s="1" a="1"/>
  <c r="M40" i="6" s="1"/>
  <c r="O40" i="6" s="1"/>
  <c r="AQ40" i="6" a="1"/>
  <c r="AQ40" i="6" s="1"/>
  <c r="AC40" i="6" s="1" a="1"/>
  <c r="AC40" i="6" s="1"/>
  <c r="AV72" i="6"/>
  <c r="AW72" i="6"/>
  <c r="AX72" i="6"/>
  <c r="AY72" i="6"/>
  <c r="AV73" i="6"/>
  <c r="AW73" i="6"/>
  <c r="AX73" i="6"/>
  <c r="AY73" i="6"/>
  <c r="AV74" i="6"/>
  <c r="AY74" i="6" s="1"/>
  <c r="AW74" i="6"/>
  <c r="AX74" i="6"/>
  <c r="AV75" i="6"/>
  <c r="AW75" i="6"/>
  <c r="AX75" i="6"/>
  <c r="AY75" i="6"/>
  <c r="AV76" i="6"/>
  <c r="AW76" i="6"/>
  <c r="AX76" i="6"/>
  <c r="AY76" i="6"/>
  <c r="AV77" i="6"/>
  <c r="AW77" i="6"/>
  <c r="AX77" i="6"/>
  <c r="AY77" i="6"/>
  <c r="AV78" i="6"/>
  <c r="AW78" i="6"/>
  <c r="AX78" i="6"/>
  <c r="AY78" i="6"/>
  <c r="AV79" i="6"/>
  <c r="AY79" i="6" s="1"/>
  <c r="AW79" i="6"/>
  <c r="AX79" i="6"/>
  <c r="AV80" i="6"/>
  <c r="AW80" i="6"/>
  <c r="AX80" i="6"/>
  <c r="AY80" i="6"/>
  <c r="AV81" i="6"/>
  <c r="AW81" i="6"/>
  <c r="AX81" i="6"/>
  <c r="AY81" i="6"/>
  <c r="AV82" i="6"/>
  <c r="AW82" i="6"/>
  <c r="AX82" i="6"/>
  <c r="AY82" i="6"/>
  <c r="AV83" i="6"/>
  <c r="AW83" i="6"/>
  <c r="AX83" i="6"/>
  <c r="AY83" i="6"/>
  <c r="AS72" i="6"/>
  <c r="AT72" i="6"/>
  <c r="AU72" i="6"/>
  <c r="AS73" i="6"/>
  <c r="AT73" i="6"/>
  <c r="AU73" i="6"/>
  <c r="AS74" i="6"/>
  <c r="AT74" i="6"/>
  <c r="AU74" i="6"/>
  <c r="AS75" i="6"/>
  <c r="AT75" i="6"/>
  <c r="AU75" i="6"/>
  <c r="AS76" i="6"/>
  <c r="AT76" i="6"/>
  <c r="AU76" i="6"/>
  <c r="AS77" i="6"/>
  <c r="AT77" i="6"/>
  <c r="AU77" i="6"/>
  <c r="AS78" i="6"/>
  <c r="AT78" i="6"/>
  <c r="AU78" i="6"/>
  <c r="AS79" i="6"/>
  <c r="AT79" i="6"/>
  <c r="AU79" i="6"/>
  <c r="AS80" i="6"/>
  <c r="AT80" i="6"/>
  <c r="AU80" i="6"/>
  <c r="AS81" i="6"/>
  <c r="AT81" i="6"/>
  <c r="AU81" i="6"/>
  <c r="AS82" i="6"/>
  <c r="AT82" i="6"/>
  <c r="AU82" i="6"/>
  <c r="AS83" i="6"/>
  <c r="AT83" i="6"/>
  <c r="AU83" i="6"/>
  <c r="H16" i="6" a="1"/>
  <c r="H16" i="6"/>
  <c r="J16" i="6" s="1"/>
  <c r="I16" i="6"/>
  <c r="X13" i="6"/>
  <c r="X12" i="6"/>
  <c r="T12" i="6"/>
  <c r="R12" i="6"/>
  <c r="AC15" i="6" a="1"/>
  <c r="AC15" i="6" s="1"/>
  <c r="AC16" i="6" a="1"/>
  <c r="AC16" i="6" s="1"/>
  <c r="AC17" i="6" a="1"/>
  <c r="AC17" i="6" s="1"/>
  <c r="AC18" i="6" a="1"/>
  <c r="AC18" i="6" s="1"/>
  <c r="AC22" i="6" a="1"/>
  <c r="AC22" i="6" s="1"/>
  <c r="AC23" i="6" a="1"/>
  <c r="AC23" i="6" s="1"/>
  <c r="AC25" i="6" a="1"/>
  <c r="AC25" i="6" s="1"/>
  <c r="AC26" i="6" a="1"/>
  <c r="AC26" i="6" s="1"/>
  <c r="AC27" i="6" a="1"/>
  <c r="AC27" i="6" s="1"/>
  <c r="AC33" i="6" a="1"/>
  <c r="AC33" i="6" s="1"/>
  <c r="AC34" i="6" a="1"/>
  <c r="AC34" i="6" s="1"/>
  <c r="AC36" i="6" a="1"/>
  <c r="AC36" i="6" s="1"/>
  <c r="M15" i="6" a="1"/>
  <c r="M15" i="6"/>
  <c r="N15" i="6"/>
  <c r="O15" i="6"/>
  <c r="M16" i="6" a="1"/>
  <c r="M16" i="6"/>
  <c r="O16" i="6" s="1"/>
  <c r="N16" i="6"/>
  <c r="M17" i="6" a="1"/>
  <c r="M17" i="6" s="1"/>
  <c r="M18" i="6" a="1"/>
  <c r="M18" i="6"/>
  <c r="N18" i="6"/>
  <c r="O18" i="6"/>
  <c r="M20" i="6" a="1"/>
  <c r="M20" i="6"/>
  <c r="O20" i="6"/>
  <c r="M21" i="6" a="1"/>
  <c r="M21" i="6"/>
  <c r="O21" i="6"/>
  <c r="M25" i="6" a="1"/>
  <c r="M25" i="6" s="1"/>
  <c r="M26" i="6" a="1"/>
  <c r="M26" i="6"/>
  <c r="N26" i="6"/>
  <c r="O26" i="6"/>
  <c r="M30" i="6" a="1"/>
  <c r="M30" i="6"/>
  <c r="O30" i="6"/>
  <c r="M33" i="6" a="1"/>
  <c r="M33" i="6"/>
  <c r="N33" i="6"/>
  <c r="O33" i="6"/>
  <c r="M34" i="6" a="1"/>
  <c r="M34" i="6"/>
  <c r="O34" i="6" s="1"/>
  <c r="N34" i="6"/>
  <c r="M36" i="6" a="1"/>
  <c r="M36" i="6"/>
  <c r="O36" i="6" s="1"/>
  <c r="M39" i="6" a="1"/>
  <c r="M39" i="6"/>
  <c r="O39" i="6"/>
  <c r="R15" i="6"/>
  <c r="S15" i="6"/>
  <c r="T15" i="6"/>
  <c r="U15" i="6"/>
  <c r="V15" i="6"/>
  <c r="W15" i="6"/>
  <c r="R16" i="6"/>
  <c r="S16" i="6"/>
  <c r="T16" i="6"/>
  <c r="U16" i="6"/>
  <c r="Y16" i="6" s="1"/>
  <c r="V16" i="6"/>
  <c r="W16" i="6"/>
  <c r="X16" i="6" a="1"/>
  <c r="X16" i="6" s="1"/>
  <c r="Z16" i="6" s="1"/>
  <c r="R17" i="6"/>
  <c r="S17" i="6"/>
  <c r="T17" i="6"/>
  <c r="U17" i="6"/>
  <c r="V17" i="6"/>
  <c r="W17" i="6"/>
  <c r="R18" i="6"/>
  <c r="S18" i="6"/>
  <c r="T18" i="6"/>
  <c r="U18" i="6"/>
  <c r="Y18" i="6" s="1"/>
  <c r="V18" i="6"/>
  <c r="W18" i="6"/>
  <c r="R19" i="6"/>
  <c r="S19" i="6"/>
  <c r="T19" i="6"/>
  <c r="U19" i="6"/>
  <c r="V19" i="6"/>
  <c r="W19" i="6"/>
  <c r="R20" i="6"/>
  <c r="S20" i="6"/>
  <c r="T20" i="6"/>
  <c r="U20" i="6"/>
  <c r="V20" i="6"/>
  <c r="W20" i="6"/>
  <c r="R21" i="6"/>
  <c r="S21" i="6"/>
  <c r="T21" i="6"/>
  <c r="U21" i="6"/>
  <c r="V21" i="6"/>
  <c r="W21" i="6"/>
  <c r="R22" i="6"/>
  <c r="S22" i="6"/>
  <c r="T22" i="6"/>
  <c r="U22" i="6"/>
  <c r="V22" i="6"/>
  <c r="W22" i="6"/>
  <c r="R23" i="6"/>
  <c r="S23" i="6"/>
  <c r="T23" i="6"/>
  <c r="U23" i="6"/>
  <c r="V23" i="6"/>
  <c r="W23" i="6"/>
  <c r="R24" i="6"/>
  <c r="S24" i="6"/>
  <c r="T24" i="6"/>
  <c r="U24" i="6"/>
  <c r="V24" i="6"/>
  <c r="W24" i="6"/>
  <c r="R25" i="6"/>
  <c r="S25" i="6"/>
  <c r="T25" i="6"/>
  <c r="U25" i="6"/>
  <c r="V25" i="6"/>
  <c r="W25" i="6"/>
  <c r="R26" i="6"/>
  <c r="S26" i="6"/>
  <c r="T26" i="6"/>
  <c r="U26" i="6"/>
  <c r="Y26" i="6" s="1"/>
  <c r="V26" i="6"/>
  <c r="W26" i="6"/>
  <c r="X26" i="6" a="1"/>
  <c r="X26" i="6" s="1"/>
  <c r="Z26" i="6" s="1"/>
  <c r="R27" i="6"/>
  <c r="S27" i="6"/>
  <c r="T27" i="6"/>
  <c r="U27" i="6"/>
  <c r="V27" i="6"/>
  <c r="W27" i="6"/>
  <c r="R28" i="6"/>
  <c r="S28" i="6"/>
  <c r="T28" i="6"/>
  <c r="U28" i="6"/>
  <c r="V28" i="6"/>
  <c r="W28" i="6"/>
  <c r="R29" i="6"/>
  <c r="S29" i="6"/>
  <c r="T29" i="6"/>
  <c r="U29" i="6"/>
  <c r="V29" i="6"/>
  <c r="W29" i="6"/>
  <c r="R30" i="6"/>
  <c r="S30" i="6"/>
  <c r="T30" i="6"/>
  <c r="U30" i="6"/>
  <c r="V30" i="6"/>
  <c r="W30" i="6"/>
  <c r="R31" i="6"/>
  <c r="S31" i="6"/>
  <c r="T31" i="6"/>
  <c r="U31" i="6"/>
  <c r="V31" i="6"/>
  <c r="W31" i="6"/>
  <c r="R32" i="6"/>
  <c r="S32" i="6"/>
  <c r="T32" i="6"/>
  <c r="U32" i="6"/>
  <c r="V32" i="6"/>
  <c r="W32" i="6"/>
  <c r="R33" i="6"/>
  <c r="S33" i="6"/>
  <c r="T33" i="6"/>
  <c r="U33" i="6"/>
  <c r="V33" i="6"/>
  <c r="W33" i="6"/>
  <c r="R34" i="6"/>
  <c r="S34" i="6"/>
  <c r="T34" i="6"/>
  <c r="U34" i="6"/>
  <c r="V34" i="6"/>
  <c r="W34" i="6"/>
  <c r="X34" i="6" a="1"/>
  <c r="X34" i="6"/>
  <c r="AB34" i="6" s="1"/>
  <c r="Y34" i="6"/>
  <c r="R35" i="6"/>
  <c r="S35" i="6"/>
  <c r="T35" i="6"/>
  <c r="U35" i="6"/>
  <c r="V35" i="6"/>
  <c r="W35" i="6"/>
  <c r="R36" i="6"/>
  <c r="S36" i="6"/>
  <c r="T36" i="6"/>
  <c r="U36" i="6"/>
  <c r="V36" i="6"/>
  <c r="W36" i="6"/>
  <c r="R37" i="6"/>
  <c r="S37" i="6"/>
  <c r="T37" i="6"/>
  <c r="U37" i="6"/>
  <c r="V37" i="6"/>
  <c r="W37" i="6"/>
  <c r="R38" i="6"/>
  <c r="S38" i="6"/>
  <c r="T38" i="6"/>
  <c r="U38" i="6"/>
  <c r="V38" i="6"/>
  <c r="W38" i="6"/>
  <c r="R39" i="6"/>
  <c r="S39" i="6"/>
  <c r="T39" i="6"/>
  <c r="U39" i="6"/>
  <c r="V39" i="6"/>
  <c r="W39" i="6"/>
  <c r="R40" i="6"/>
  <c r="S40" i="6"/>
  <c r="T40" i="6"/>
  <c r="U40" i="6"/>
  <c r="V40" i="6"/>
  <c r="W40" i="6"/>
  <c r="AN15" i="6" a="1"/>
  <c r="AN15" i="6" s="1"/>
  <c r="H15" i="6" s="1" a="1"/>
  <c r="H15" i="6" s="1"/>
  <c r="AO15" i="6" a="1"/>
  <c r="AO15" i="6" s="1"/>
  <c r="AN16" i="6" a="1"/>
  <c r="AN16" i="6" s="1"/>
  <c r="AO16" i="6" a="1"/>
  <c r="AO16" i="6" s="1"/>
  <c r="AN17" i="6" a="1"/>
  <c r="AN17" i="6" s="1"/>
  <c r="I17" i="6" s="1"/>
  <c r="AO17" i="6" a="1"/>
  <c r="AO17" i="6" s="1"/>
  <c r="AN18" i="6" a="1"/>
  <c r="AN18" i="6" s="1"/>
  <c r="AO18" i="6" a="1"/>
  <c r="AO18" i="6" s="1"/>
  <c r="AN25" i="6" a="1"/>
  <c r="AN25" i="6" s="1"/>
  <c r="H25" i="6" s="1" a="1"/>
  <c r="H25" i="6" s="1"/>
  <c r="AO25" i="6" a="1"/>
  <c r="AO25" i="6" s="1"/>
  <c r="X25" i="6" s="1" a="1"/>
  <c r="X25" i="6" s="1"/>
  <c r="AN26" i="6" a="1"/>
  <c r="AN26" i="6" s="1"/>
  <c r="I26" i="6" s="1"/>
  <c r="AO26" i="6" a="1"/>
  <c r="AO26" i="6" s="1"/>
  <c r="AN33" i="6" a="1"/>
  <c r="AN33" i="6" s="1"/>
  <c r="AO33" i="6" a="1"/>
  <c r="AO33" i="6" s="1"/>
  <c r="AN34" i="6" a="1"/>
  <c r="AN34" i="6" s="1"/>
  <c r="H34" i="6" s="1" a="1"/>
  <c r="H34" i="6" s="1"/>
  <c r="AO34" i="6" a="1"/>
  <c r="AO34" i="6" s="1"/>
  <c r="E6" i="6"/>
  <c r="D6" i="6"/>
  <c r="C6" i="6"/>
  <c r="C8" i="6"/>
  <c r="E63" i="6"/>
  <c r="B50" i="6" a="1"/>
  <c r="B50" i="6" s="1"/>
  <c r="B49" i="6" a="1"/>
  <c r="B49" i="6" s="1"/>
  <c r="B48" i="6" a="1"/>
  <c r="B48" i="6" s="1"/>
  <c r="B47" i="6" a="1"/>
  <c r="B47" i="6" s="1"/>
  <c r="B46" i="6" a="1"/>
  <c r="B46" i="6" s="1"/>
  <c r="B45" i="6" a="1"/>
  <c r="B45" i="6" s="1"/>
  <c r="B15" i="6"/>
  <c r="C15" i="6"/>
  <c r="D15" i="6"/>
  <c r="E15" i="6"/>
  <c r="F15" i="6"/>
  <c r="G15" i="6"/>
  <c r="B16" i="6"/>
  <c r="C16" i="6"/>
  <c r="D16" i="6"/>
  <c r="E16" i="6"/>
  <c r="F16" i="6"/>
  <c r="G16" i="6"/>
  <c r="B17" i="6"/>
  <c r="C17" i="6"/>
  <c r="D17" i="6"/>
  <c r="E17" i="6"/>
  <c r="F17" i="6"/>
  <c r="G17" i="6"/>
  <c r="B18" i="6"/>
  <c r="C18" i="6"/>
  <c r="D18" i="6"/>
  <c r="E18" i="6"/>
  <c r="F18" i="6"/>
  <c r="G18" i="6"/>
  <c r="B19" i="6"/>
  <c r="C19" i="6"/>
  <c r="D19" i="6"/>
  <c r="E19" i="6"/>
  <c r="F19" i="6"/>
  <c r="G19" i="6"/>
  <c r="B20" i="6"/>
  <c r="C20" i="6"/>
  <c r="D20" i="6"/>
  <c r="E20" i="6"/>
  <c r="F20" i="6"/>
  <c r="G20" i="6"/>
  <c r="B21" i="6"/>
  <c r="C21" i="6"/>
  <c r="D21" i="6"/>
  <c r="E21" i="6"/>
  <c r="F21" i="6"/>
  <c r="G21" i="6"/>
  <c r="B22" i="6"/>
  <c r="C22" i="6"/>
  <c r="D22" i="6"/>
  <c r="E22" i="6"/>
  <c r="F22" i="6"/>
  <c r="G22" i="6"/>
  <c r="B23" i="6"/>
  <c r="C23" i="6"/>
  <c r="D23" i="6"/>
  <c r="E23" i="6"/>
  <c r="F23" i="6"/>
  <c r="G23" i="6"/>
  <c r="B24" i="6"/>
  <c r="C24" i="6"/>
  <c r="D24" i="6"/>
  <c r="E24" i="6"/>
  <c r="F24" i="6"/>
  <c r="G24" i="6"/>
  <c r="B25" i="6"/>
  <c r="C25" i="6"/>
  <c r="D25" i="6"/>
  <c r="E25" i="6"/>
  <c r="F25" i="6"/>
  <c r="G25" i="6"/>
  <c r="B26" i="6"/>
  <c r="C26" i="6"/>
  <c r="D26" i="6"/>
  <c r="E26" i="6"/>
  <c r="F26" i="6"/>
  <c r="G26" i="6"/>
  <c r="B27" i="6"/>
  <c r="C27" i="6"/>
  <c r="D27" i="6"/>
  <c r="E27" i="6"/>
  <c r="F27" i="6"/>
  <c r="G27" i="6"/>
  <c r="B28" i="6"/>
  <c r="C28" i="6"/>
  <c r="D28" i="6"/>
  <c r="E28" i="6"/>
  <c r="F28" i="6"/>
  <c r="G28" i="6"/>
  <c r="B29" i="6"/>
  <c r="C29" i="6"/>
  <c r="D29" i="6"/>
  <c r="E29" i="6"/>
  <c r="F29" i="6"/>
  <c r="G29" i="6"/>
  <c r="B30" i="6"/>
  <c r="C30" i="6"/>
  <c r="D30" i="6"/>
  <c r="E30" i="6"/>
  <c r="F30" i="6"/>
  <c r="G30" i="6"/>
  <c r="B31" i="6"/>
  <c r="C31" i="6"/>
  <c r="D31" i="6"/>
  <c r="E31" i="6"/>
  <c r="F31" i="6"/>
  <c r="G31" i="6"/>
  <c r="B32" i="6"/>
  <c r="C32" i="6"/>
  <c r="D32" i="6"/>
  <c r="E32" i="6"/>
  <c r="F32" i="6"/>
  <c r="G32" i="6"/>
  <c r="B33" i="6"/>
  <c r="C33" i="6"/>
  <c r="D33" i="6"/>
  <c r="E33" i="6"/>
  <c r="F33" i="6"/>
  <c r="G33" i="6"/>
  <c r="B34" i="6"/>
  <c r="C34" i="6"/>
  <c r="D34" i="6"/>
  <c r="E34" i="6"/>
  <c r="F34" i="6"/>
  <c r="G34" i="6"/>
  <c r="B35" i="6"/>
  <c r="C35" i="6"/>
  <c r="D35" i="6"/>
  <c r="E35" i="6"/>
  <c r="F35" i="6"/>
  <c r="G35" i="6"/>
  <c r="B36" i="6"/>
  <c r="C36" i="6"/>
  <c r="D36" i="6"/>
  <c r="E36" i="6"/>
  <c r="F36" i="6"/>
  <c r="G36" i="6"/>
  <c r="B37" i="6"/>
  <c r="C37" i="6"/>
  <c r="D37" i="6"/>
  <c r="E37" i="6"/>
  <c r="F37" i="6"/>
  <c r="G37" i="6"/>
  <c r="B38" i="6"/>
  <c r="C38" i="6"/>
  <c r="D38" i="6"/>
  <c r="E38" i="6"/>
  <c r="F38" i="6"/>
  <c r="G38" i="6"/>
  <c r="B39" i="6"/>
  <c r="C39" i="6"/>
  <c r="D39" i="6"/>
  <c r="E39" i="6"/>
  <c r="F39" i="6"/>
  <c r="G39" i="6"/>
  <c r="B40" i="6"/>
  <c r="C40" i="6"/>
  <c r="D40" i="6"/>
  <c r="E40" i="6"/>
  <c r="F40" i="6"/>
  <c r="G40" i="6"/>
  <c r="H13" i="6"/>
  <c r="H12" i="6"/>
  <c r="D12" i="6"/>
  <c r="B12" i="6"/>
  <c r="N83" i="6" a="1"/>
  <c r="N83" i="6" s="1"/>
  <c r="M83" i="6" a="1"/>
  <c r="M83" i="6" s="1"/>
  <c r="L83" i="6"/>
  <c r="L83" i="6" a="1"/>
  <c r="K83" i="6" a="1"/>
  <c r="K83" i="6" s="1"/>
  <c r="J83" i="6" a="1"/>
  <c r="J83" i="6" s="1"/>
  <c r="I83" i="6" a="1"/>
  <c r="I83" i="6" s="1"/>
  <c r="H83" i="6" a="1"/>
  <c r="H83" i="6" s="1"/>
  <c r="G83" i="6"/>
  <c r="G83" i="6" a="1"/>
  <c r="F83" i="6" a="1"/>
  <c r="F83" i="6" s="1"/>
  <c r="N82" i="6" a="1"/>
  <c r="N82" i="6" s="1"/>
  <c r="M82" i="6"/>
  <c r="M82" i="6" a="1"/>
  <c r="L82" i="6"/>
  <c r="L82" i="6" a="1"/>
  <c r="K82" i="6" a="1"/>
  <c r="K82" i="6" s="1"/>
  <c r="J82" i="6" a="1"/>
  <c r="J82" i="6" s="1"/>
  <c r="I82" i="6" a="1"/>
  <c r="I82" i="6" s="1"/>
  <c r="H82" i="6" a="1"/>
  <c r="H82" i="6" s="1"/>
  <c r="G82" i="6"/>
  <c r="G82" i="6" a="1"/>
  <c r="F82" i="6" a="1"/>
  <c r="F82" i="6" s="1"/>
  <c r="N81" i="6" a="1"/>
  <c r="N81" i="6" s="1"/>
  <c r="M81" i="6" a="1"/>
  <c r="M81" i="6" s="1"/>
  <c r="L81" i="6" a="1"/>
  <c r="L81" i="6" s="1"/>
  <c r="K81" i="6" a="1"/>
  <c r="K81" i="6" s="1"/>
  <c r="J81" i="6"/>
  <c r="J81" i="6" a="1"/>
  <c r="I81" i="6" a="1"/>
  <c r="I81" i="6" s="1"/>
  <c r="H81" i="6" a="1"/>
  <c r="H81" i="6" s="1"/>
  <c r="G81" i="6" a="1"/>
  <c r="G81" i="6" s="1"/>
  <c r="F81" i="6" a="1"/>
  <c r="F81" i="6" s="1"/>
  <c r="N80" i="6" a="1"/>
  <c r="N80" i="6" s="1"/>
  <c r="M80" i="6" a="1"/>
  <c r="M80" i="6" s="1"/>
  <c r="L80" i="6" a="1"/>
  <c r="L80" i="6" s="1"/>
  <c r="K80" i="6" a="1"/>
  <c r="K80" i="6" s="1"/>
  <c r="J80" i="6"/>
  <c r="J80" i="6" a="1"/>
  <c r="I80" i="6" a="1"/>
  <c r="I80" i="6" s="1"/>
  <c r="H80" i="6" a="1"/>
  <c r="H80" i="6" s="1"/>
  <c r="G80" i="6" a="1"/>
  <c r="G80" i="6" s="1"/>
  <c r="F80" i="6" a="1"/>
  <c r="F80" i="6" s="1"/>
  <c r="N79" i="6" a="1"/>
  <c r="N79" i="6" s="1"/>
  <c r="M79" i="6"/>
  <c r="M79" i="6" a="1"/>
  <c r="L79" i="6" a="1"/>
  <c r="L79" i="6" s="1"/>
  <c r="K79" i="6" a="1"/>
  <c r="K79" i="6" s="1"/>
  <c r="J79" i="6" a="1"/>
  <c r="J79" i="6" s="1"/>
  <c r="I79" i="6" a="1"/>
  <c r="I79" i="6" s="1"/>
  <c r="H79" i="6"/>
  <c r="H79" i="6" a="1"/>
  <c r="G79" i="6" a="1"/>
  <c r="G79" i="6" s="1"/>
  <c r="F79" i="6" a="1"/>
  <c r="F79" i="6" s="1"/>
  <c r="N78" i="6" a="1"/>
  <c r="N78" i="6" s="1"/>
  <c r="M78" i="6"/>
  <c r="M78" i="6" a="1"/>
  <c r="L78" i="6" a="1"/>
  <c r="L78" i="6" s="1"/>
  <c r="K78" i="6" a="1"/>
  <c r="K78" i="6" s="1"/>
  <c r="J78" i="6" a="1"/>
  <c r="J78" i="6" s="1"/>
  <c r="I78" i="6" a="1"/>
  <c r="I78" i="6" s="1"/>
  <c r="H78" i="6"/>
  <c r="H78" i="6" a="1"/>
  <c r="G78" i="6" a="1"/>
  <c r="G78" i="6" s="1"/>
  <c r="F78" i="6" a="1"/>
  <c r="F78" i="6" s="1"/>
  <c r="N77" i="6" a="1"/>
  <c r="N77" i="6" s="1"/>
  <c r="M77" i="6" a="1"/>
  <c r="M77" i="6" s="1"/>
  <c r="L77" i="6" a="1"/>
  <c r="L77" i="6" s="1"/>
  <c r="K77" i="6"/>
  <c r="K77" i="6" a="1"/>
  <c r="J77" i="6" a="1"/>
  <c r="J77" i="6" s="1"/>
  <c r="I77" i="6" a="1"/>
  <c r="I77" i="6" s="1"/>
  <c r="H77" i="6" a="1"/>
  <c r="H77" i="6" s="1"/>
  <c r="G77" i="6" a="1"/>
  <c r="G77" i="6" s="1"/>
  <c r="F77" i="6"/>
  <c r="F77" i="6" a="1"/>
  <c r="N76" i="6" a="1"/>
  <c r="N76" i="6" s="1"/>
  <c r="M76" i="6" a="1"/>
  <c r="M76" i="6" s="1"/>
  <c r="L76" i="6" a="1"/>
  <c r="L76" i="6" s="1"/>
  <c r="K76" i="6"/>
  <c r="K76" i="6" a="1"/>
  <c r="J76" i="6" a="1"/>
  <c r="J76" i="6" s="1"/>
  <c r="I76" i="6" a="1"/>
  <c r="I76" i="6" s="1"/>
  <c r="H76" i="6" a="1"/>
  <c r="H76" i="6" s="1"/>
  <c r="G76" i="6" a="1"/>
  <c r="G76" i="6" s="1"/>
  <c r="F76" i="6"/>
  <c r="F76" i="6" a="1"/>
  <c r="N75" i="6"/>
  <c r="N75" i="6" a="1"/>
  <c r="M75" i="6" a="1"/>
  <c r="M75" i="6" s="1"/>
  <c r="L75" i="6" a="1"/>
  <c r="L75" i="6" s="1"/>
  <c r="K75" i="6" a="1"/>
  <c r="K75" i="6" s="1"/>
  <c r="J75" i="6" a="1"/>
  <c r="J75" i="6" s="1"/>
  <c r="I75" i="6"/>
  <c r="I75" i="6" a="1"/>
  <c r="H75" i="6" a="1"/>
  <c r="H75" i="6" s="1"/>
  <c r="G75" i="6" a="1"/>
  <c r="G75" i="6" s="1"/>
  <c r="F75" i="6" a="1"/>
  <c r="F75" i="6" s="1"/>
  <c r="N74" i="6"/>
  <c r="N74" i="6" a="1"/>
  <c r="M74" i="6" a="1"/>
  <c r="M74" i="6" s="1"/>
  <c r="L74" i="6" a="1"/>
  <c r="L74" i="6" s="1"/>
  <c r="K74" i="6" a="1"/>
  <c r="K74" i="6" s="1"/>
  <c r="J74" i="6" a="1"/>
  <c r="J74" i="6" s="1"/>
  <c r="I74" i="6"/>
  <c r="I74" i="6" a="1"/>
  <c r="H74" i="6" a="1"/>
  <c r="H74" i="6" s="1"/>
  <c r="G74" i="6" a="1"/>
  <c r="G74" i="6" s="1"/>
  <c r="F74" i="6" a="1"/>
  <c r="F74" i="6" s="1"/>
  <c r="N73" i="6" a="1"/>
  <c r="N73" i="6" s="1"/>
  <c r="M73" i="6" a="1"/>
  <c r="M73" i="6" s="1"/>
  <c r="L73" i="6"/>
  <c r="L73" i="6" a="1"/>
  <c r="K73" i="6" a="1"/>
  <c r="K73" i="6" s="1"/>
  <c r="J73" i="6" a="1"/>
  <c r="J73" i="6" s="1"/>
  <c r="I73" i="6" a="1"/>
  <c r="I73" i="6" s="1"/>
  <c r="H73" i="6" a="1"/>
  <c r="H73" i="6" s="1"/>
  <c r="G73" i="6"/>
  <c r="G73" i="6" a="1"/>
  <c r="F73" i="6" a="1"/>
  <c r="F73" i="6" s="1"/>
  <c r="N72" i="6" a="1"/>
  <c r="N72" i="6" s="1"/>
  <c r="M72" i="6" a="1"/>
  <c r="M72" i="6" s="1"/>
  <c r="L72" i="6" a="1"/>
  <c r="L72" i="6" s="1"/>
  <c r="K72" i="6" a="1"/>
  <c r="K72" i="6" s="1"/>
  <c r="J72" i="6" a="1"/>
  <c r="J72" i="6"/>
  <c r="I72" i="6" a="1"/>
  <c r="I72" i="6" s="1"/>
  <c r="H72" i="6" a="1"/>
  <c r="H72" i="6" s="1"/>
  <c r="G72" i="6" a="1"/>
  <c r="G72" i="6" s="1"/>
  <c r="F72" i="6" a="1"/>
  <c r="F72" i="6" s="1"/>
  <c r="U30" i="4"/>
  <c r="V30" i="4" s="1"/>
  <c r="T30" i="4"/>
  <c r="W30" i="4" s="1"/>
  <c r="I30" i="4"/>
  <c r="J30" i="4" s="1"/>
  <c r="H30" i="4"/>
  <c r="K30" i="4" s="1"/>
  <c r="U29" i="4"/>
  <c r="V29" i="4" s="1"/>
  <c r="T29" i="4"/>
  <c r="W29" i="4" s="1"/>
  <c r="K29" i="4"/>
  <c r="J29" i="4"/>
  <c r="I29" i="4"/>
  <c r="H29" i="4"/>
  <c r="W28" i="4"/>
  <c r="V28" i="4"/>
  <c r="U28" i="4"/>
  <c r="T28" i="4"/>
  <c r="I28" i="4"/>
  <c r="H28" i="4"/>
  <c r="K28" i="4" s="1"/>
  <c r="U27" i="4"/>
  <c r="T27" i="4"/>
  <c r="W27" i="4" s="1"/>
  <c r="K27" i="4"/>
  <c r="J27" i="4"/>
  <c r="I27" i="4"/>
  <c r="H27" i="4"/>
  <c r="W26" i="4"/>
  <c r="V26" i="4"/>
  <c r="U26" i="4"/>
  <c r="T26" i="4"/>
  <c r="I26" i="4"/>
  <c r="J26" i="4" s="1"/>
  <c r="H26" i="4"/>
  <c r="K26" i="4" s="1"/>
  <c r="U25" i="4"/>
  <c r="V25" i="4" s="1"/>
  <c r="T25" i="4"/>
  <c r="W25" i="4" s="1"/>
  <c r="I25" i="4"/>
  <c r="J25" i="4" s="1"/>
  <c r="H25" i="4"/>
  <c r="K25" i="4" s="1"/>
  <c r="L24" i="4"/>
  <c r="K24" i="4"/>
  <c r="J24" i="4"/>
  <c r="I24" i="4"/>
  <c r="H24" i="4"/>
  <c r="X23" i="4"/>
  <c r="U23" i="4"/>
  <c r="V23" i="4" s="1"/>
  <c r="T23" i="4"/>
  <c r="W23" i="4" s="1"/>
  <c r="L23" i="4"/>
  <c r="K23" i="4"/>
  <c r="J23" i="4"/>
  <c r="I23" i="4"/>
  <c r="H23" i="4"/>
  <c r="W22" i="4"/>
  <c r="U22" i="4"/>
  <c r="V22" i="4" s="1"/>
  <c r="T22" i="4"/>
  <c r="K22" i="4"/>
  <c r="J22" i="4"/>
  <c r="I22" i="4"/>
  <c r="H22" i="4"/>
  <c r="W21" i="4"/>
  <c r="U21" i="4"/>
  <c r="V21" i="4" s="1"/>
  <c r="T21" i="4"/>
  <c r="I21" i="4"/>
  <c r="H21" i="4"/>
  <c r="K21" i="4" s="1"/>
  <c r="W20" i="4"/>
  <c r="V20" i="4"/>
  <c r="U20" i="4"/>
  <c r="T20" i="4"/>
  <c r="K20" i="4"/>
  <c r="I20" i="4"/>
  <c r="J20" i="4" s="1"/>
  <c r="H20" i="4"/>
  <c r="W19" i="4"/>
  <c r="U19" i="4"/>
  <c r="V19" i="4" s="1"/>
  <c r="T19" i="4"/>
  <c r="K19" i="4"/>
  <c r="I19" i="4"/>
  <c r="J19" i="4" s="1"/>
  <c r="H19" i="4"/>
  <c r="U18" i="4"/>
  <c r="T18" i="4"/>
  <c r="W18" i="4" s="1"/>
  <c r="K18" i="4"/>
  <c r="J18" i="4"/>
  <c r="I18" i="4"/>
  <c r="H18" i="4"/>
  <c r="W17" i="4"/>
  <c r="U17" i="4"/>
  <c r="V17" i="4" s="1"/>
  <c r="T17" i="4"/>
  <c r="K17" i="4"/>
  <c r="I17" i="4"/>
  <c r="J17" i="4" s="1"/>
  <c r="H17" i="4"/>
  <c r="L16" i="4"/>
  <c r="K16" i="4"/>
  <c r="J16" i="4"/>
  <c r="I16" i="4"/>
  <c r="H16" i="4"/>
  <c r="U15" i="4"/>
  <c r="T15" i="4"/>
  <c r="X15" i="4" s="1"/>
  <c r="L15" i="4"/>
  <c r="K15" i="4"/>
  <c r="J15" i="4"/>
  <c r="I15" i="4"/>
  <c r="H15" i="4"/>
  <c r="V14" i="4"/>
  <c r="U14" i="4"/>
  <c r="T14" i="4"/>
  <c r="W14" i="4" s="1"/>
  <c r="I14" i="4"/>
  <c r="J14" i="4" s="1"/>
  <c r="H14" i="4"/>
  <c r="K14" i="4" s="1"/>
  <c r="U13" i="4"/>
  <c r="T13" i="4"/>
  <c r="W13" i="4" s="1"/>
  <c r="K13" i="4"/>
  <c r="I13" i="4"/>
  <c r="J13" i="4" s="1"/>
  <c r="H13" i="4"/>
  <c r="W12" i="4"/>
  <c r="V12" i="4"/>
  <c r="U12" i="4"/>
  <c r="T12" i="4"/>
  <c r="I12" i="4"/>
  <c r="J12" i="4" s="1"/>
  <c r="H12" i="4"/>
  <c r="K12" i="4" s="1"/>
  <c r="W11" i="4"/>
  <c r="U11" i="4"/>
  <c r="V11" i="4" s="1"/>
  <c r="T11" i="4"/>
  <c r="I11" i="4"/>
  <c r="J11" i="4" s="1"/>
  <c r="H11" i="4"/>
  <c r="K11" i="4" s="1"/>
  <c r="W10" i="4"/>
  <c r="U10" i="4"/>
  <c r="V10" i="4" s="1"/>
  <c r="T10" i="4"/>
  <c r="K10" i="4"/>
  <c r="J10" i="4"/>
  <c r="I10" i="4"/>
  <c r="H10" i="4"/>
  <c r="U9" i="4"/>
  <c r="T9" i="4"/>
  <c r="W9" i="4" s="1"/>
  <c r="I9" i="4"/>
  <c r="H9" i="4"/>
  <c r="K9" i="4" s="1"/>
  <c r="I8" i="4"/>
  <c r="H8" i="4"/>
  <c r="X7" i="4"/>
  <c r="W7" i="4"/>
  <c r="U7" i="4"/>
  <c r="V7" i="4" s="1"/>
  <c r="T7" i="4"/>
  <c r="I7" i="4"/>
  <c r="J7" i="4" s="1"/>
  <c r="H7" i="4"/>
  <c r="W5" i="4"/>
  <c r="V5" i="4"/>
  <c r="U5" i="4"/>
  <c r="T5" i="4"/>
  <c r="K5" i="4"/>
  <c r="I5" i="4"/>
  <c r="J5" i="4" s="1"/>
  <c r="H5" i="4"/>
  <c r="D72" i="2"/>
  <c r="L37" i="2" s="1"/>
  <c r="D71" i="2"/>
  <c r="D70" i="2"/>
  <c r="J37" i="2" s="1"/>
  <c r="D69" i="2"/>
  <c r="L36" i="2" s="1"/>
  <c r="D68" i="2"/>
  <c r="D67" i="2"/>
  <c r="D66" i="2"/>
  <c r="L35" i="2" s="1"/>
  <c r="D65" i="2"/>
  <c r="D64" i="2"/>
  <c r="D63" i="2"/>
  <c r="D62" i="2"/>
  <c r="D61" i="2"/>
  <c r="J34" i="2" s="1"/>
  <c r="D60" i="2"/>
  <c r="L33" i="2" s="1"/>
  <c r="D59" i="2"/>
  <c r="K33" i="2" s="1"/>
  <c r="N33" i="2" s="1"/>
  <c r="D58" i="2"/>
  <c r="D57" i="2"/>
  <c r="D56" i="2"/>
  <c r="K32" i="2" s="1"/>
  <c r="D55" i="2"/>
  <c r="D54" i="2"/>
  <c r="D53" i="2"/>
  <c r="K31" i="2" s="1"/>
  <c r="D52" i="2"/>
  <c r="J31" i="2" s="1"/>
  <c r="D51" i="2"/>
  <c r="L30" i="2" s="1"/>
  <c r="D50" i="2"/>
  <c r="D49" i="2"/>
  <c r="J30" i="2" s="1"/>
  <c r="D48" i="2"/>
  <c r="D47" i="2"/>
  <c r="D46" i="2"/>
  <c r="L45" i="2"/>
  <c r="D45" i="2"/>
  <c r="L28" i="2" s="1"/>
  <c r="J44" i="2"/>
  <c r="D44" i="2"/>
  <c r="K28" i="2" s="1"/>
  <c r="K44" i="2" s="1"/>
  <c r="D43" i="2"/>
  <c r="J28" i="2" s="1"/>
  <c r="M28" i="2" s="1"/>
  <c r="P28" i="2" s="1"/>
  <c r="K42" i="2"/>
  <c r="D42" i="2"/>
  <c r="L41" i="2"/>
  <c r="D41" i="2"/>
  <c r="D40" i="2"/>
  <c r="J27" i="2" s="1"/>
  <c r="K39" i="2"/>
  <c r="J39" i="2"/>
  <c r="D39" i="2"/>
  <c r="L26" i="2" s="1"/>
  <c r="D38" i="2"/>
  <c r="K26" i="2" s="1"/>
  <c r="K37" i="2"/>
  <c r="N37" i="2" s="1"/>
  <c r="D37" i="2"/>
  <c r="K36" i="2"/>
  <c r="J36" i="2"/>
  <c r="D36" i="2"/>
  <c r="K35" i="2"/>
  <c r="J35" i="2"/>
  <c r="D35" i="2"/>
  <c r="L34" i="2"/>
  <c r="K34" i="2"/>
  <c r="D34" i="2"/>
  <c r="M33" i="2"/>
  <c r="P33" i="2" s="1"/>
  <c r="J33" i="2"/>
  <c r="D33" i="2"/>
  <c r="L24" i="2" s="1"/>
  <c r="L40" i="2" s="1"/>
  <c r="L32" i="2"/>
  <c r="J32" i="2"/>
  <c r="D32" i="2"/>
  <c r="L31" i="2"/>
  <c r="N31" i="2" s="1"/>
  <c r="D31" i="2"/>
  <c r="K30" i="2"/>
  <c r="D30" i="2"/>
  <c r="L23" i="2" s="1"/>
  <c r="L29" i="2"/>
  <c r="K29" i="2"/>
  <c r="K45" i="2" s="1"/>
  <c r="J29" i="2"/>
  <c r="D29" i="2"/>
  <c r="K23" i="2" s="1"/>
  <c r="D28" i="2"/>
  <c r="J23" i="2" s="1"/>
  <c r="L27" i="2"/>
  <c r="K27" i="2"/>
  <c r="K43" i="2" s="1"/>
  <c r="D27" i="2"/>
  <c r="J26" i="2"/>
  <c r="D26" i="2"/>
  <c r="K22" i="2" s="1"/>
  <c r="L25" i="2"/>
  <c r="K25" i="2"/>
  <c r="K41" i="2" s="1"/>
  <c r="J25" i="2"/>
  <c r="D25" i="2"/>
  <c r="J22" i="2" s="1"/>
  <c r="K24" i="2"/>
  <c r="J24" i="2"/>
  <c r="J40" i="2" s="1"/>
  <c r="D24" i="2"/>
  <c r="M23" i="2"/>
  <c r="P23" i="2" s="1"/>
  <c r="D23" i="2"/>
  <c r="L22" i="2"/>
  <c r="D22" i="2"/>
  <c r="D21" i="2"/>
  <c r="L20" i="2" s="1"/>
  <c r="N20" i="2"/>
  <c r="O20" i="2" s="1"/>
  <c r="M20" i="2"/>
  <c r="P20" i="2" s="1"/>
  <c r="K20" i="2"/>
  <c r="J20" i="2"/>
  <c r="D20" i="2"/>
  <c r="D19" i="2"/>
  <c r="G16" i="2"/>
  <c r="H16" i="2" s="1"/>
  <c r="F16" i="2"/>
  <c r="G15" i="2"/>
  <c r="H15" i="2" s="1"/>
  <c r="F15" i="2"/>
  <c r="G14" i="2"/>
  <c r="H14" i="2" s="1"/>
  <c r="F14" i="2"/>
  <c r="G13" i="2"/>
  <c r="H13" i="2" s="1"/>
  <c r="F13" i="2"/>
  <c r="G12" i="2"/>
  <c r="H12" i="2" s="1"/>
  <c r="F12" i="2"/>
  <c r="G11" i="2"/>
  <c r="H11" i="2" s="1"/>
  <c r="F11" i="2"/>
  <c r="G10" i="2"/>
  <c r="H10" i="2" s="1"/>
  <c r="F10" i="2"/>
  <c r="H9" i="2"/>
  <c r="G9" i="2"/>
  <c r="F9" i="2"/>
  <c r="H8" i="2"/>
  <c r="G8" i="2"/>
  <c r="F8" i="2"/>
  <c r="H7" i="2"/>
  <c r="G7" i="2"/>
  <c r="F7" i="2"/>
  <c r="G6" i="2"/>
  <c r="H6" i="2" s="1"/>
  <c r="F6" i="2"/>
  <c r="H5" i="2"/>
  <c r="G5" i="2"/>
  <c r="F5" i="2"/>
  <c r="G4" i="2"/>
  <c r="H4" i="2" s="1"/>
  <c r="F4" i="2"/>
  <c r="G3" i="2"/>
  <c r="H3" i="2" s="1"/>
  <c r="F3" i="2"/>
  <c r="D72" i="3"/>
  <c r="L37" i="3" s="1"/>
  <c r="D71" i="3"/>
  <c r="K37" i="3" s="1"/>
  <c r="K45" i="3" s="1"/>
  <c r="D70" i="3"/>
  <c r="J37" i="3" s="1"/>
  <c r="D69" i="3"/>
  <c r="L36" i="3" s="1"/>
  <c r="D68" i="3"/>
  <c r="K36" i="3" s="1"/>
  <c r="D67" i="3"/>
  <c r="J36" i="3" s="1"/>
  <c r="D66" i="3"/>
  <c r="D65" i="3"/>
  <c r="D64" i="3"/>
  <c r="J35" i="3" s="1"/>
  <c r="M35" i="3" s="1"/>
  <c r="D63" i="3"/>
  <c r="D62" i="3"/>
  <c r="K34" i="3" s="1"/>
  <c r="D61" i="3"/>
  <c r="D60" i="3"/>
  <c r="L33" i="3" s="1"/>
  <c r="D59" i="3"/>
  <c r="D58" i="3"/>
  <c r="D57" i="3"/>
  <c r="L32" i="3" s="1"/>
  <c r="D56" i="3"/>
  <c r="D55" i="3"/>
  <c r="D54" i="3"/>
  <c r="D53" i="3"/>
  <c r="D52" i="3"/>
  <c r="D51" i="3"/>
  <c r="L30" i="3" s="1"/>
  <c r="L38" i="3" s="1"/>
  <c r="D50" i="3"/>
  <c r="K30" i="3" s="1"/>
  <c r="N30" i="3" s="1"/>
  <c r="D49" i="3"/>
  <c r="D48" i="3"/>
  <c r="D47" i="3"/>
  <c r="K29" i="3" s="1"/>
  <c r="D46" i="3"/>
  <c r="D45" i="3"/>
  <c r="L28" i="3" s="1"/>
  <c r="L44" i="3" s="1"/>
  <c r="D44" i="3"/>
  <c r="D43" i="3"/>
  <c r="D42" i="3"/>
  <c r="K41" i="3"/>
  <c r="D41" i="3"/>
  <c r="D40" i="3"/>
  <c r="J27" i="3" s="1"/>
  <c r="N27" i="3" s="1"/>
  <c r="D39" i="3"/>
  <c r="J38" i="3"/>
  <c r="D38" i="3"/>
  <c r="D37" i="3"/>
  <c r="N36" i="3"/>
  <c r="M36" i="3"/>
  <c r="P36" i="3" s="1"/>
  <c r="D36" i="3"/>
  <c r="L25" i="3" s="1"/>
  <c r="P35" i="3"/>
  <c r="L35" i="3"/>
  <c r="K35" i="3"/>
  <c r="D35" i="3"/>
  <c r="L34" i="3"/>
  <c r="J34" i="3"/>
  <c r="N34" i="3" s="1"/>
  <c r="D34" i="3"/>
  <c r="J25" i="3" s="1"/>
  <c r="K33" i="3"/>
  <c r="J33" i="3"/>
  <c r="D33" i="3"/>
  <c r="K32" i="3"/>
  <c r="J32" i="3"/>
  <c r="D32" i="3"/>
  <c r="K24" i="3" s="1"/>
  <c r="K40" i="3" s="1"/>
  <c r="D31" i="3"/>
  <c r="J24" i="3" s="1"/>
  <c r="J30" i="3"/>
  <c r="D30" i="3"/>
  <c r="L29" i="3"/>
  <c r="L45" i="3" s="1"/>
  <c r="J29" i="3"/>
  <c r="D29" i="3"/>
  <c r="K28" i="3"/>
  <c r="K44" i="3" s="1"/>
  <c r="J28" i="3"/>
  <c r="J44" i="3" s="1"/>
  <c r="D28" i="3"/>
  <c r="L27" i="3"/>
  <c r="L43" i="3" s="1"/>
  <c r="K27" i="3"/>
  <c r="K43" i="3" s="1"/>
  <c r="D27" i="3"/>
  <c r="L26" i="3"/>
  <c r="L42" i="3" s="1"/>
  <c r="K26" i="3"/>
  <c r="K42" i="3" s="1"/>
  <c r="J26" i="3"/>
  <c r="M26" i="3" s="1"/>
  <c r="P26" i="3" s="1"/>
  <c r="D26" i="3"/>
  <c r="K25" i="3"/>
  <c r="D25" i="3"/>
  <c r="J22" i="3" s="1"/>
  <c r="N22" i="3" s="1"/>
  <c r="L24" i="3"/>
  <c r="L40" i="3" s="1"/>
  <c r="D24" i="3"/>
  <c r="D23" i="3"/>
  <c r="L22" i="3"/>
  <c r="K22" i="3"/>
  <c r="D22" i="3"/>
  <c r="D21" i="3"/>
  <c r="L20" i="3" s="1"/>
  <c r="K20" i="3"/>
  <c r="N20" i="3" s="1"/>
  <c r="J20" i="3"/>
  <c r="M20" i="3" s="1"/>
  <c r="P20" i="3" s="1"/>
  <c r="D20" i="3"/>
  <c r="D19" i="3"/>
  <c r="K16" i="3"/>
  <c r="J16" i="3"/>
  <c r="I16" i="3"/>
  <c r="H16" i="3"/>
  <c r="G16" i="3"/>
  <c r="F16" i="3"/>
  <c r="K15" i="3"/>
  <c r="J15" i="3" s="1"/>
  <c r="I15" i="3"/>
  <c r="G15" i="3"/>
  <c r="H15" i="3" s="1"/>
  <c r="F15" i="3"/>
  <c r="K14" i="3"/>
  <c r="J14" i="3"/>
  <c r="I14" i="3"/>
  <c r="G14" i="3"/>
  <c r="H14" i="3" s="1"/>
  <c r="F14" i="3"/>
  <c r="K13" i="3"/>
  <c r="J13" i="3" s="1"/>
  <c r="I13" i="3"/>
  <c r="G13" i="3"/>
  <c r="H13" i="3" s="1"/>
  <c r="F13" i="3"/>
  <c r="K12" i="3"/>
  <c r="J12" i="3" s="1"/>
  <c r="I12" i="3"/>
  <c r="H12" i="3"/>
  <c r="G12" i="3"/>
  <c r="F12" i="3"/>
  <c r="K11" i="3"/>
  <c r="J11" i="3" s="1"/>
  <c r="I11" i="3"/>
  <c r="G11" i="3"/>
  <c r="H11" i="3" s="1"/>
  <c r="F11" i="3"/>
  <c r="K10" i="3"/>
  <c r="J10" i="3" s="1"/>
  <c r="I10" i="3"/>
  <c r="G10" i="3"/>
  <c r="H10" i="3" s="1"/>
  <c r="F10" i="3"/>
  <c r="K9" i="3"/>
  <c r="J9" i="3"/>
  <c r="I9" i="3"/>
  <c r="G9" i="3"/>
  <c r="H9" i="3" s="1"/>
  <c r="F9" i="3"/>
  <c r="K8" i="3"/>
  <c r="J8" i="3" s="1"/>
  <c r="I8" i="3"/>
  <c r="H8" i="3"/>
  <c r="G8" i="3"/>
  <c r="F8" i="3"/>
  <c r="K7" i="3"/>
  <c r="J7" i="3" s="1"/>
  <c r="I7" i="3"/>
  <c r="H7" i="3"/>
  <c r="G7" i="3"/>
  <c r="F7" i="3"/>
  <c r="K6" i="3"/>
  <c r="J6" i="3" s="1"/>
  <c r="I6" i="3"/>
  <c r="G6" i="3"/>
  <c r="H6" i="3" s="1"/>
  <c r="F6" i="3"/>
  <c r="K5" i="3"/>
  <c r="J5" i="3"/>
  <c r="I5" i="3"/>
  <c r="G5" i="3"/>
  <c r="H5" i="3" s="1"/>
  <c r="F5" i="3"/>
  <c r="K4" i="3"/>
  <c r="J4" i="3" s="1"/>
  <c r="I4" i="3"/>
  <c r="G4" i="3"/>
  <c r="H4" i="3" s="1"/>
  <c r="F4" i="3"/>
  <c r="K3" i="3"/>
  <c r="J3" i="3"/>
  <c r="I3" i="3"/>
  <c r="G3" i="3"/>
  <c r="H3" i="3" s="1"/>
  <c r="F3" i="3"/>
  <c r="AA34" i="6" l="1"/>
  <c r="Z34" i="6"/>
  <c r="I34" i="6"/>
  <c r="H17" i="6" a="1"/>
  <c r="H17" i="6" s="1"/>
  <c r="N25" i="6"/>
  <c r="O25" i="6"/>
  <c r="N17" i="6"/>
  <c r="O17" i="6"/>
  <c r="AA25" i="6"/>
  <c r="H33" i="6" a="1"/>
  <c r="H33" i="6" s="1"/>
  <c r="J33" i="6" s="1"/>
  <c r="I33" i="6"/>
  <c r="X15" i="6" a="1"/>
  <c r="X15" i="6" s="1"/>
  <c r="Y15" i="6"/>
  <c r="H18" i="6" a="1"/>
  <c r="H18" i="6" s="1"/>
  <c r="I18" i="6"/>
  <c r="Y25" i="6"/>
  <c r="Z25" i="6" s="1"/>
  <c r="I15" i="6"/>
  <c r="X17" i="6" a="1"/>
  <c r="X17" i="6" s="1"/>
  <c r="AA17" i="6" s="1"/>
  <c r="H26" i="6" a="1"/>
  <c r="H26" i="6" s="1"/>
  <c r="I25" i="6"/>
  <c r="J25" i="6" s="1"/>
  <c r="X33" i="6" a="1"/>
  <c r="X33" i="6" s="1"/>
  <c r="AA33" i="6" s="1"/>
  <c r="AE23" i="6"/>
  <c r="AE32" i="6"/>
  <c r="AE22" i="6"/>
  <c r="AE24" i="6"/>
  <c r="AD33" i="6"/>
  <c r="AE33" i="6"/>
  <c r="AE21" i="6"/>
  <c r="AE30" i="6"/>
  <c r="AE39" i="6"/>
  <c r="AE29" i="6"/>
  <c r="AE19" i="6"/>
  <c r="AD34" i="6"/>
  <c r="AE34" i="6"/>
  <c r="AE40" i="6"/>
  <c r="AE20" i="6"/>
  <c r="AE38" i="6"/>
  <c r="AE28" i="6"/>
  <c r="AD18" i="6"/>
  <c r="AE18" i="6"/>
  <c r="AE31" i="6"/>
  <c r="AE37" i="6"/>
  <c r="AE27" i="6"/>
  <c r="AE36" i="6"/>
  <c r="AD26" i="6"/>
  <c r="AE26" i="6"/>
  <c r="AD16" i="6"/>
  <c r="AE16" i="6"/>
  <c r="AD17" i="6"/>
  <c r="AE17" i="6"/>
  <c r="AE35" i="6"/>
  <c r="AD25" i="6"/>
  <c r="AE25" i="6"/>
  <c r="AD15" i="6"/>
  <c r="AE15" i="6"/>
  <c r="AB26" i="6"/>
  <c r="AB16" i="6"/>
  <c r="Y33" i="6"/>
  <c r="AA26" i="6"/>
  <c r="X18" i="6" a="1"/>
  <c r="X18" i="6" s="1"/>
  <c r="Y17" i="6"/>
  <c r="AA16" i="6"/>
  <c r="AB25" i="6"/>
  <c r="C9" i="6"/>
  <c r="D8" i="6"/>
  <c r="C5" i="6"/>
  <c r="L34" i="6"/>
  <c r="P72" i="6"/>
  <c r="Q72" i="6"/>
  <c r="O72" i="6"/>
  <c r="O73" i="6"/>
  <c r="Q82" i="6"/>
  <c r="O74" i="6"/>
  <c r="P83" i="6"/>
  <c r="Q83" i="6"/>
  <c r="L16" i="6"/>
  <c r="K16" i="6"/>
  <c r="L25" i="6"/>
  <c r="K25" i="6"/>
  <c r="Q78" i="6"/>
  <c r="P73" i="6"/>
  <c r="Q73" i="6"/>
  <c r="P75" i="6"/>
  <c r="P76" i="6"/>
  <c r="O77" i="6"/>
  <c r="O78" i="6"/>
  <c r="Q76" i="6"/>
  <c r="P77" i="6"/>
  <c r="P78" i="6"/>
  <c r="O79" i="6"/>
  <c r="P82" i="6"/>
  <c r="P74" i="6"/>
  <c r="Q74" i="6"/>
  <c r="P80" i="6"/>
  <c r="P81" i="6"/>
  <c r="O75" i="6"/>
  <c r="Q75" i="6"/>
  <c r="O76" i="6"/>
  <c r="Q77" i="6"/>
  <c r="P79" i="6"/>
  <c r="O80" i="6"/>
  <c r="O81" i="6"/>
  <c r="O82" i="6"/>
  <c r="Q79" i="6"/>
  <c r="Q80" i="6"/>
  <c r="Q81" i="6"/>
  <c r="O83" i="6"/>
  <c r="N44" i="3"/>
  <c r="M44" i="3"/>
  <c r="P44" i="3" s="1"/>
  <c r="N30" i="2"/>
  <c r="O30" i="2" s="1"/>
  <c r="M30" i="2"/>
  <c r="P30" i="2" s="1"/>
  <c r="M36" i="2"/>
  <c r="P36" i="2" s="1"/>
  <c r="N36" i="2"/>
  <c r="O36" i="2" s="1"/>
  <c r="O20" i="3"/>
  <c r="N34" i="2"/>
  <c r="M34" i="2"/>
  <c r="P34" i="2" s="1"/>
  <c r="M32" i="2"/>
  <c r="P32" i="2" s="1"/>
  <c r="N32" i="2"/>
  <c r="K40" i="2"/>
  <c r="N40" i="2" s="1"/>
  <c r="J45" i="3"/>
  <c r="N37" i="3"/>
  <c r="M37" i="3"/>
  <c r="P37" i="3" s="1"/>
  <c r="K38" i="2"/>
  <c r="N22" i="2"/>
  <c r="M33" i="3"/>
  <c r="P33" i="3" s="1"/>
  <c r="M25" i="3"/>
  <c r="P25" i="3" s="1"/>
  <c r="N25" i="3"/>
  <c r="J41" i="3"/>
  <c r="L42" i="2"/>
  <c r="N26" i="2"/>
  <c r="M26" i="2"/>
  <c r="P26" i="2" s="1"/>
  <c r="N32" i="3"/>
  <c r="M32" i="3"/>
  <c r="P32" i="3" s="1"/>
  <c r="J41" i="2"/>
  <c r="N25" i="2"/>
  <c r="N29" i="2"/>
  <c r="O29" i="2" s="1"/>
  <c r="M29" i="2"/>
  <c r="P29" i="2" s="1"/>
  <c r="M24" i="3"/>
  <c r="P24" i="3" s="1"/>
  <c r="M29" i="3"/>
  <c r="P29" i="3" s="1"/>
  <c r="M31" i="2"/>
  <c r="P31" i="2" s="1"/>
  <c r="N35" i="2"/>
  <c r="M34" i="3"/>
  <c r="P34" i="3" s="1"/>
  <c r="K38" i="3"/>
  <c r="N38" i="3" s="1"/>
  <c r="O38" i="3" s="1"/>
  <c r="J21" i="4"/>
  <c r="L39" i="2"/>
  <c r="N39" i="2" s="1"/>
  <c r="M35" i="2"/>
  <c r="P35" i="2" s="1"/>
  <c r="M27" i="2"/>
  <c r="P27" i="2" s="1"/>
  <c r="J43" i="2"/>
  <c r="O33" i="2"/>
  <c r="J9" i="4"/>
  <c r="V13" i="4"/>
  <c r="N28" i="3"/>
  <c r="O28" i="3" s="1"/>
  <c r="M30" i="3"/>
  <c r="P30" i="3" s="1"/>
  <c r="N33" i="3"/>
  <c r="O33" i="3" s="1"/>
  <c r="J42" i="2"/>
  <c r="M37" i="2"/>
  <c r="P37" i="2" s="1"/>
  <c r="L7" i="4"/>
  <c r="K7" i="4"/>
  <c r="J28" i="4"/>
  <c r="M22" i="3"/>
  <c r="P22" i="3" s="1"/>
  <c r="J43" i="3"/>
  <c r="L8" i="4"/>
  <c r="K8" i="4"/>
  <c r="L43" i="2"/>
  <c r="O36" i="3"/>
  <c r="M25" i="2"/>
  <c r="P25" i="2" s="1"/>
  <c r="N27" i="2"/>
  <c r="O27" i="2" s="1"/>
  <c r="V27" i="4"/>
  <c r="M28" i="3"/>
  <c r="P28" i="3" s="1"/>
  <c r="N24" i="2"/>
  <c r="O24" i="2" s="1"/>
  <c r="M24" i="2"/>
  <c r="P24" i="2" s="1"/>
  <c r="N23" i="2"/>
  <c r="O23" i="2" s="1"/>
  <c r="L44" i="2"/>
  <c r="M44" i="2" s="1"/>
  <c r="P44" i="2" s="1"/>
  <c r="N29" i="3"/>
  <c r="O29" i="3" s="1"/>
  <c r="J45" i="2"/>
  <c r="V18" i="4"/>
  <c r="L41" i="3"/>
  <c r="J8" i="4"/>
  <c r="M38" i="3"/>
  <c r="P38" i="3" s="1"/>
  <c r="M27" i="3"/>
  <c r="P27" i="3" s="1"/>
  <c r="J40" i="3"/>
  <c r="N24" i="3"/>
  <c r="N35" i="3"/>
  <c r="O35" i="3" s="1"/>
  <c r="L38" i="2"/>
  <c r="V9" i="4"/>
  <c r="V15" i="4"/>
  <c r="J42" i="3"/>
  <c r="N26" i="3"/>
  <c r="O26" i="3" s="1"/>
  <c r="M22" i="2"/>
  <c r="P22" i="2" s="1"/>
  <c r="J38" i="2"/>
  <c r="N28" i="2"/>
  <c r="O28" i="2" s="1"/>
  <c r="W15" i="4"/>
  <c r="R82" i="6" l="1"/>
  <c r="Z17" i="6"/>
  <c r="AB17" i="6"/>
  <c r="R81" i="6"/>
  <c r="R80" i="6"/>
  <c r="R79" i="6"/>
  <c r="K33" i="6"/>
  <c r="R76" i="6"/>
  <c r="L33" i="6"/>
  <c r="R72" i="6"/>
  <c r="T72" i="6" s="1"/>
  <c r="U72" i="6" s="1"/>
  <c r="R74" i="6"/>
  <c r="AB33" i="6"/>
  <c r="R73" i="6"/>
  <c r="R83" i="6"/>
  <c r="R78" i="6"/>
  <c r="Z33" i="6"/>
  <c r="R77" i="6"/>
  <c r="R75" i="6"/>
  <c r="AA15" i="6"/>
  <c r="Z15" i="6"/>
  <c r="Z18" i="6"/>
  <c r="AA18" i="6"/>
  <c r="AB18" i="6"/>
  <c r="J18" i="6"/>
  <c r="K34" i="6"/>
  <c r="J34" i="6"/>
  <c r="L18" i="6"/>
  <c r="K18" i="6"/>
  <c r="J26" i="6"/>
  <c r="J15" i="6"/>
  <c r="L26" i="6"/>
  <c r="K15" i="6"/>
  <c r="K26" i="6"/>
  <c r="L17" i="6"/>
  <c r="J17" i="6"/>
  <c r="K17" i="6"/>
  <c r="O25" i="3"/>
  <c r="O32" i="2"/>
  <c r="M40" i="3"/>
  <c r="P40" i="3" s="1"/>
  <c r="N40" i="3"/>
  <c r="M42" i="2"/>
  <c r="P42" i="2" s="1"/>
  <c r="N42" i="2"/>
  <c r="O42" i="2" s="1"/>
  <c r="O24" i="3"/>
  <c r="O25" i="2"/>
  <c r="N45" i="3"/>
  <c r="O45" i="3" s="1"/>
  <c r="M45" i="3"/>
  <c r="P45" i="3" s="1"/>
  <c r="M43" i="3"/>
  <c r="P43" i="3" s="1"/>
  <c r="N43" i="3"/>
  <c r="O43" i="3" s="1"/>
  <c r="M39" i="2"/>
  <c r="P39" i="2" s="1"/>
  <c r="N41" i="2"/>
  <c r="M41" i="2"/>
  <c r="P41" i="2" s="1"/>
  <c r="O22" i="2"/>
  <c r="O34" i="2"/>
  <c r="O44" i="3"/>
  <c r="N41" i="3"/>
  <c r="O41" i="3" s="1"/>
  <c r="M41" i="3"/>
  <c r="P41" i="3" s="1"/>
  <c r="O37" i="2"/>
  <c r="O22" i="3"/>
  <c r="O35" i="2"/>
  <c r="O32" i="3"/>
  <c r="O34" i="3"/>
  <c r="O30" i="3"/>
  <c r="N42" i="3"/>
  <c r="M42" i="3"/>
  <c r="P42" i="3" s="1"/>
  <c r="N44" i="2"/>
  <c r="O44" i="2" s="1"/>
  <c r="N43" i="2"/>
  <c r="M43" i="2"/>
  <c r="P43" i="2" s="1"/>
  <c r="O27" i="3"/>
  <c r="M40" i="2"/>
  <c r="P40" i="2" s="1"/>
  <c r="N38" i="2"/>
  <c r="M38" i="2"/>
  <c r="P38" i="2" s="1"/>
  <c r="N45" i="2"/>
  <c r="M45" i="2"/>
  <c r="P45" i="2" s="1"/>
  <c r="O26" i="2"/>
  <c r="O37" i="3"/>
  <c r="O31" i="2"/>
  <c r="Y72" i="6" l="1" a="1"/>
  <c r="Y72" i="6" s="1"/>
  <c r="K45" i="6" s="1" a="1"/>
  <c r="K45" i="6" s="1"/>
  <c r="AN19" i="6" a="1"/>
  <c r="AN19" i="6" s="1"/>
  <c r="AN27" i="6" a="1"/>
  <c r="AN27" i="6" s="1"/>
  <c r="AN35" i="6" a="1"/>
  <c r="AN35" i="6" s="1"/>
  <c r="T82" i="6"/>
  <c r="U82" i="6" s="1"/>
  <c r="T80" i="6"/>
  <c r="AC80" i="6" s="1"/>
  <c r="T79" i="6"/>
  <c r="U79" i="6" s="1"/>
  <c r="T77" i="6"/>
  <c r="AC77" i="6" s="1"/>
  <c r="T73" i="6"/>
  <c r="U73" i="6" s="1"/>
  <c r="T78" i="6"/>
  <c r="AC78" i="6" s="1"/>
  <c r="T74" i="6"/>
  <c r="AC74" i="6" s="1"/>
  <c r="T81" i="6"/>
  <c r="AC81" i="6" s="1"/>
  <c r="T76" i="6"/>
  <c r="AC76" i="6" s="1"/>
  <c r="T75" i="6"/>
  <c r="U75" i="6" s="1"/>
  <c r="T83" i="6"/>
  <c r="AC83" i="6" s="1"/>
  <c r="W72" i="6" a="1"/>
  <c r="W72" i="6" s="1"/>
  <c r="E45" i="6" s="1" a="1"/>
  <c r="E45" i="6" s="1"/>
  <c r="AC72" i="6"/>
  <c r="X72" i="6" a="1"/>
  <c r="X72" i="6" s="1"/>
  <c r="H45" i="6" s="1" a="1"/>
  <c r="H45" i="6" s="1"/>
  <c r="V72" i="6"/>
  <c r="O42" i="3"/>
  <c r="O45" i="2"/>
  <c r="O38" i="2"/>
  <c r="O41" i="2"/>
  <c r="O40" i="3"/>
  <c r="O43" i="2"/>
  <c r="O40" i="2"/>
  <c r="O39" i="2"/>
  <c r="U83" i="6" l="1"/>
  <c r="X83" i="6" s="1" a="1"/>
  <c r="X83" i="6" s="1"/>
  <c r="I50" i="6" s="1" a="1"/>
  <c r="I50" i="6" s="1"/>
  <c r="Z72" i="6"/>
  <c r="AA72" i="6" s="1"/>
  <c r="U80" i="6"/>
  <c r="W80" i="6" s="1" a="1"/>
  <c r="W80" i="6" s="1"/>
  <c r="E49" i="6" s="1" a="1"/>
  <c r="E49" i="6" s="1"/>
  <c r="U74" i="6"/>
  <c r="X74" i="6" s="1" a="1"/>
  <c r="X74" i="6" s="1"/>
  <c r="H46" i="6" s="1" a="1"/>
  <c r="H46" i="6" s="1"/>
  <c r="L63" i="6" a="1"/>
  <c r="L63" i="6" s="1"/>
  <c r="X73" i="6" a="1"/>
  <c r="X73" i="6" s="1"/>
  <c r="I45" i="6" s="1" a="1"/>
  <c r="I45" i="6" s="1"/>
  <c r="J45" i="6" s="1"/>
  <c r="AO19" i="6" a="1"/>
  <c r="AO19" i="6" s="1"/>
  <c r="AO27" i="6" a="1"/>
  <c r="AO27" i="6" s="1"/>
  <c r="AO35" i="6" a="1"/>
  <c r="AO35" i="6" s="1"/>
  <c r="X79" i="6" a="1"/>
  <c r="X79" i="6" s="1"/>
  <c r="I48" i="6" s="1" a="1"/>
  <c r="I48" i="6" s="1"/>
  <c r="AO22" i="6" a="1"/>
  <c r="AO22" i="6" s="1"/>
  <c r="AO30" i="6" a="1"/>
  <c r="AO30" i="6" s="1"/>
  <c r="AO38" i="6" a="1"/>
  <c r="AO38" i="6" s="1"/>
  <c r="X82" i="6" a="1"/>
  <c r="X82" i="6" s="1"/>
  <c r="H50" i="6" s="1" a="1"/>
  <c r="H50" i="6" s="1"/>
  <c r="AN24" i="6" a="1"/>
  <c r="AN24" i="6" s="1"/>
  <c r="AN32" i="6" a="1"/>
  <c r="AN32" i="6" s="1"/>
  <c r="AN40" i="6" a="1"/>
  <c r="AN40" i="6" s="1"/>
  <c r="AO36" i="6" a="1"/>
  <c r="AO36" i="6" s="1"/>
  <c r="AO20" i="6" a="1"/>
  <c r="AO20" i="6" s="1"/>
  <c r="AO28" i="6" a="1"/>
  <c r="AO28" i="6" s="1"/>
  <c r="I35" i="6"/>
  <c r="H35" i="6" a="1"/>
  <c r="H35" i="6" s="1"/>
  <c r="N35" i="6" s="1"/>
  <c r="H27" i="6" a="1"/>
  <c r="H27" i="6" s="1"/>
  <c r="N27" i="6" s="1"/>
  <c r="I27" i="6"/>
  <c r="H19" i="6" a="1"/>
  <c r="H19" i="6" s="1"/>
  <c r="N19" i="6" s="1"/>
  <c r="I19" i="6"/>
  <c r="U76" i="6"/>
  <c r="W76" i="6" s="1" a="1"/>
  <c r="W76" i="6" s="1"/>
  <c r="E47" i="6" s="1" a="1"/>
  <c r="E47" i="6" s="1"/>
  <c r="U77" i="6"/>
  <c r="V77" i="6" s="1"/>
  <c r="U81" i="6"/>
  <c r="Y81" i="6" s="1" a="1"/>
  <c r="Y81" i="6" s="1"/>
  <c r="L49" i="6" s="1" a="1"/>
  <c r="L49" i="6" s="1"/>
  <c r="U78" i="6"/>
  <c r="Y78" i="6" s="1" a="1"/>
  <c r="Y78" i="6" s="1"/>
  <c r="K48" i="6" s="1" a="1"/>
  <c r="K48" i="6" s="1"/>
  <c r="AC82" i="6"/>
  <c r="AC75" i="6"/>
  <c r="AC73" i="6"/>
  <c r="E64" i="6"/>
  <c r="AC79" i="6"/>
  <c r="Y73" i="6" a="1"/>
  <c r="Y73" i="6" s="1"/>
  <c r="L45" i="6" s="1" a="1"/>
  <c r="L45" i="6" s="1"/>
  <c r="M45" i="6" s="1"/>
  <c r="V73" i="6"/>
  <c r="W73" i="6" a="1"/>
  <c r="W73" i="6" s="1"/>
  <c r="F45" i="6" s="1" a="1"/>
  <c r="F45" i="6" s="1"/>
  <c r="G45" i="6" s="1"/>
  <c r="W82" i="6" a="1"/>
  <c r="W82" i="6" s="1"/>
  <c r="E50" i="6" s="1" a="1"/>
  <c r="E50" i="6" s="1"/>
  <c r="V82" i="6"/>
  <c r="Y82" i="6" a="1"/>
  <c r="Y82" i="6" s="1"/>
  <c r="K50" i="6" s="1" a="1"/>
  <c r="K50" i="6" s="1"/>
  <c r="W79" i="6" a="1"/>
  <c r="W79" i="6" s="1"/>
  <c r="F48" i="6" s="1" a="1"/>
  <c r="F48" i="6" s="1"/>
  <c r="Y75" i="6" a="1"/>
  <c r="Y75" i="6" s="1"/>
  <c r="L46" i="6" s="1" a="1"/>
  <c r="L46" i="6" s="1"/>
  <c r="V79" i="6"/>
  <c r="Y79" i="6" a="1"/>
  <c r="Y79" i="6" s="1"/>
  <c r="V75" i="6"/>
  <c r="W75" i="6" a="1"/>
  <c r="W75" i="6" s="1"/>
  <c r="F46" i="6" s="1" a="1"/>
  <c r="F46" i="6" s="1"/>
  <c r="X75" i="6" a="1"/>
  <c r="X75" i="6" s="1"/>
  <c r="I46" i="6" s="1" a="1"/>
  <c r="I46" i="6" s="1"/>
  <c r="W83" i="6" l="1" a="1"/>
  <c r="W83" i="6" s="1"/>
  <c r="F50" i="6" s="1" a="1"/>
  <c r="F50" i="6" s="1"/>
  <c r="AO32" i="6" a="1"/>
  <c r="AO32" i="6" s="1"/>
  <c r="X32" i="6" s="1" a="1"/>
  <c r="X32" i="6" s="1"/>
  <c r="V83" i="6"/>
  <c r="AO24" i="6" a="1"/>
  <c r="AO24" i="6" s="1"/>
  <c r="Y24" i="6" s="1"/>
  <c r="Y83" i="6" a="1"/>
  <c r="Y83" i="6" s="1"/>
  <c r="AO40" i="6" a="1"/>
  <c r="AO40" i="6" s="1"/>
  <c r="X40" i="6" s="1" a="1"/>
  <c r="X40" i="6" s="1"/>
  <c r="V78" i="6"/>
  <c r="V80" i="6"/>
  <c r="X77" i="6" a="1"/>
  <c r="X77" i="6" s="1"/>
  <c r="I47" i="6" s="1" a="1"/>
  <c r="I47" i="6" s="1"/>
  <c r="W77" i="6" a="1"/>
  <c r="W77" i="6" s="1"/>
  <c r="F47" i="6" s="1" a="1"/>
  <c r="F47" i="6" s="1"/>
  <c r="AN39" i="6" a="1"/>
  <c r="AN39" i="6" s="1"/>
  <c r="H39" i="6" s="1" a="1"/>
  <c r="H39" i="6" s="1"/>
  <c r="N39" i="6" s="1"/>
  <c r="AN23" i="6" a="1"/>
  <c r="AN23" i="6" s="1"/>
  <c r="H23" i="6" s="1" a="1"/>
  <c r="H23" i="6" s="1"/>
  <c r="N23" i="6" s="1"/>
  <c r="AN31" i="6" a="1"/>
  <c r="AN31" i="6" s="1"/>
  <c r="H31" i="6" s="1" a="1"/>
  <c r="H31" i="6" s="1"/>
  <c r="N31" i="6" s="1"/>
  <c r="V74" i="6"/>
  <c r="Y80" i="6" a="1"/>
  <c r="Y80" i="6" s="1"/>
  <c r="K49" i="6" s="1" a="1"/>
  <c r="K49" i="6" s="1"/>
  <c r="V76" i="6"/>
  <c r="X80" i="6" a="1"/>
  <c r="X80" i="6" s="1"/>
  <c r="H49" i="6" s="1" a="1"/>
  <c r="H49" i="6" s="1"/>
  <c r="X76" i="6" a="1"/>
  <c r="X76" i="6" s="1"/>
  <c r="H47" i="6" s="1" a="1"/>
  <c r="H47" i="6" s="1"/>
  <c r="W78" i="6" a="1"/>
  <c r="W78" i="6" s="1"/>
  <c r="E48" i="6" s="1" a="1"/>
  <c r="E48" i="6" s="1"/>
  <c r="G48" i="6" s="1"/>
  <c r="W74" i="6" a="1"/>
  <c r="W74" i="6" s="1"/>
  <c r="E46" i="6" s="1" a="1"/>
  <c r="E46" i="6" s="1"/>
  <c r="G46" i="6" s="1"/>
  <c r="AN36" i="6" a="1"/>
  <c r="AN36" i="6" s="1"/>
  <c r="H36" i="6" s="1" a="1"/>
  <c r="H36" i="6" s="1"/>
  <c r="N36" i="6" s="1"/>
  <c r="AN28" i="6" a="1"/>
  <c r="AN28" i="6" s="1"/>
  <c r="H28" i="6" s="1" a="1"/>
  <c r="H28" i="6" s="1"/>
  <c r="N28" i="6" s="1"/>
  <c r="J46" i="6"/>
  <c r="AN20" i="6" a="1"/>
  <c r="AN20" i="6" s="1"/>
  <c r="H20" i="6" s="1" a="1"/>
  <c r="H20" i="6" s="1"/>
  <c r="N20" i="6" s="1"/>
  <c r="Y74" i="6" a="1"/>
  <c r="Y74" i="6" s="1"/>
  <c r="Z74" i="6" s="1"/>
  <c r="AA74" i="6" s="1"/>
  <c r="X38" i="6" a="1"/>
  <c r="X38" i="6" s="1"/>
  <c r="Y38" i="6"/>
  <c r="H40" i="6" a="1"/>
  <c r="H40" i="6" s="1"/>
  <c r="N40" i="6" s="1"/>
  <c r="I40" i="6"/>
  <c r="X19" i="6" a="1"/>
  <c r="X19" i="6" s="1"/>
  <c r="Y19" i="6"/>
  <c r="I39" i="6"/>
  <c r="I23" i="6"/>
  <c r="X24" i="6" a="1"/>
  <c r="X24" i="6" s="1"/>
  <c r="AN22" i="6" a="1"/>
  <c r="AN22" i="6" s="1"/>
  <c r="AN30" i="6" a="1"/>
  <c r="AN30" i="6" s="1"/>
  <c r="AN38" i="6" a="1"/>
  <c r="AN38" i="6" s="1"/>
  <c r="V81" i="6"/>
  <c r="AO23" i="6" a="1"/>
  <c r="AO23" i="6" s="1"/>
  <c r="AO39" i="6" a="1"/>
  <c r="AO39" i="6" s="1"/>
  <c r="AO31" i="6" a="1"/>
  <c r="AO31" i="6" s="1"/>
  <c r="Y30" i="6"/>
  <c r="X30" i="6" a="1"/>
  <c r="X30" i="6" s="1"/>
  <c r="W81" i="6" a="1"/>
  <c r="W81" i="6" s="1"/>
  <c r="F49" i="6" s="1" a="1"/>
  <c r="F49" i="6" s="1"/>
  <c r="G49" i="6" s="1"/>
  <c r="Y77" i="6" a="1"/>
  <c r="Y77" i="6" s="1"/>
  <c r="AO37" i="6" a="1"/>
  <c r="AO37" i="6" s="1"/>
  <c r="AO21" i="6" a="1"/>
  <c r="AO21" i="6" s="1"/>
  <c r="AO29" i="6" a="1"/>
  <c r="AO29" i="6" s="1"/>
  <c r="X22" i="6" a="1"/>
  <c r="X22" i="6" s="1"/>
  <c r="Y22" i="6"/>
  <c r="I20" i="6"/>
  <c r="H32" i="6" a="1"/>
  <c r="H32" i="6" s="1"/>
  <c r="N32" i="6" s="1"/>
  <c r="I32" i="6"/>
  <c r="Y76" i="6" a="1"/>
  <c r="Y76" i="6" s="1"/>
  <c r="AN21" i="6" a="1"/>
  <c r="AN21" i="6" s="1"/>
  <c r="AN29" i="6" a="1"/>
  <c r="AN29" i="6" s="1"/>
  <c r="AN37" i="6" a="1"/>
  <c r="AN37" i="6" s="1"/>
  <c r="X28" i="6" a="1"/>
  <c r="X28" i="6" s="1"/>
  <c r="Y28" i="6"/>
  <c r="I24" i="6"/>
  <c r="H24" i="6" a="1"/>
  <c r="H24" i="6" s="1"/>
  <c r="N24" i="6" s="1"/>
  <c r="J50" i="6"/>
  <c r="X20" i="6" a="1"/>
  <c r="X20" i="6" s="1"/>
  <c r="Y20" i="6"/>
  <c r="Y35" i="6"/>
  <c r="X35" i="6" a="1"/>
  <c r="X35" i="6" s="1"/>
  <c r="X36" i="6" a="1"/>
  <c r="X36" i="6" s="1"/>
  <c r="Y36" i="6"/>
  <c r="Y27" i="6"/>
  <c r="X27" i="6" a="1"/>
  <c r="X27" i="6" s="1"/>
  <c r="X78" i="6" a="1"/>
  <c r="X78" i="6" s="1"/>
  <c r="H48" i="6" s="1" a="1"/>
  <c r="H48" i="6" s="1"/>
  <c r="J48" i="6" s="1"/>
  <c r="X81" i="6" a="1"/>
  <c r="X81" i="6" s="1"/>
  <c r="I49" i="6" s="1" a="1"/>
  <c r="I49" i="6" s="1"/>
  <c r="N45" i="6"/>
  <c r="O45" i="6" s="1"/>
  <c r="Z73" i="6"/>
  <c r="AA73" i="6" s="1"/>
  <c r="G50" i="6"/>
  <c r="Z82" i="6"/>
  <c r="AA82" i="6" s="1"/>
  <c r="P45" i="6"/>
  <c r="G47" i="6"/>
  <c r="Z81" i="6"/>
  <c r="AA81" i="6" s="1"/>
  <c r="Z75" i="6"/>
  <c r="AA75" i="6" s="1"/>
  <c r="Z78" i="6"/>
  <c r="AA78" i="6" s="1"/>
  <c r="K19" i="6"/>
  <c r="L19" i="6"/>
  <c r="J19" i="6"/>
  <c r="P19" i="6" s="1"/>
  <c r="Z79" i="6"/>
  <c r="AA79" i="6" s="1"/>
  <c r="L48" i="6" a="1"/>
  <c r="L48" i="6" s="1"/>
  <c r="L27" i="6"/>
  <c r="J27" i="6"/>
  <c r="P27" i="6" s="1"/>
  <c r="K27" i="6"/>
  <c r="L35" i="6"/>
  <c r="K35" i="6"/>
  <c r="J35" i="6"/>
  <c r="P35" i="6" s="1"/>
  <c r="Z83" i="6" l="1"/>
  <c r="AA83" i="6" s="1"/>
  <c r="L50" i="6" a="1"/>
  <c r="L50" i="6" s="1"/>
  <c r="M50" i="6" s="1"/>
  <c r="P50" i="6" s="1"/>
  <c r="Y40" i="6"/>
  <c r="Z40" i="6" s="1"/>
  <c r="AF40" i="6" s="1"/>
  <c r="Y32" i="6"/>
  <c r="Z32" i="6" s="1"/>
  <c r="AF32" i="6" s="1"/>
  <c r="Z80" i="6"/>
  <c r="AA80" i="6" s="1"/>
  <c r="I31" i="6"/>
  <c r="J31" i="6" s="1"/>
  <c r="P31" i="6" s="1"/>
  <c r="J47" i="6"/>
  <c r="L40" i="6"/>
  <c r="J40" i="6"/>
  <c r="P40" i="6" s="1"/>
  <c r="L32" i="6"/>
  <c r="J49" i="6"/>
  <c r="K46" i="6" a="1"/>
  <c r="K46" i="6" s="1"/>
  <c r="I28" i="6"/>
  <c r="J28" i="6" s="1"/>
  <c r="P28" i="6" s="1"/>
  <c r="I36" i="6"/>
  <c r="J36" i="6" s="1"/>
  <c r="P36" i="6" s="1"/>
  <c r="H21" i="6" a="1"/>
  <c r="H21" i="6" s="1"/>
  <c r="I21" i="6"/>
  <c r="K47" i="6" a="1"/>
  <c r="K47" i="6" s="1"/>
  <c r="Z76" i="6"/>
  <c r="AA76" i="6" s="1"/>
  <c r="I38" i="6"/>
  <c r="H38" i="6" a="1"/>
  <c r="H38" i="6" s="1"/>
  <c r="N38" i="6" s="1"/>
  <c r="J24" i="6"/>
  <c r="P24" i="6" s="1"/>
  <c r="Y37" i="6"/>
  <c r="X37" i="6" a="1"/>
  <c r="X37" i="6" s="1"/>
  <c r="I30" i="6"/>
  <c r="H30" i="6" a="1"/>
  <c r="H30" i="6" s="1"/>
  <c r="N30" i="6" s="1"/>
  <c r="H37" i="6" a="1"/>
  <c r="H37" i="6" s="1"/>
  <c r="I37" i="6"/>
  <c r="X39" i="6" a="1"/>
  <c r="X39" i="6" s="1"/>
  <c r="Y39" i="6"/>
  <c r="AB27" i="6"/>
  <c r="AA27" i="6"/>
  <c r="Z27" i="6"/>
  <c r="AF27" i="6" s="1"/>
  <c r="AD27" i="6"/>
  <c r="X23" i="6" a="1"/>
  <c r="X23" i="6" s="1"/>
  <c r="Y23" i="6"/>
  <c r="X21" i="6" a="1"/>
  <c r="X21" i="6" s="1"/>
  <c r="Y21" i="6"/>
  <c r="Z19" i="6"/>
  <c r="AF19" i="6" s="1"/>
  <c r="AA19" i="6"/>
  <c r="AB19" i="6"/>
  <c r="AD19" i="6"/>
  <c r="Z36" i="6"/>
  <c r="AF36" i="6" s="1"/>
  <c r="AD36" i="6"/>
  <c r="AB36" i="6"/>
  <c r="AA36" i="6"/>
  <c r="AD32" i="6"/>
  <c r="AA32" i="6"/>
  <c r="AB32" i="6"/>
  <c r="L47" i="6" a="1"/>
  <c r="L47" i="6" s="1"/>
  <c r="Z77" i="6"/>
  <c r="AA77" i="6" s="1"/>
  <c r="H22" i="6" a="1"/>
  <c r="H22" i="6" s="1"/>
  <c r="N22" i="6" s="1"/>
  <c r="I22" i="6"/>
  <c r="K40" i="6"/>
  <c r="H29" i="6" a="1"/>
  <c r="H29" i="6" s="1"/>
  <c r="I29" i="6"/>
  <c r="L24" i="6"/>
  <c r="AA35" i="6"/>
  <c r="Z35" i="6"/>
  <c r="AF35" i="6" s="1"/>
  <c r="AB35" i="6"/>
  <c r="AD35" i="6"/>
  <c r="AA30" i="6"/>
  <c r="Z30" i="6"/>
  <c r="AF30" i="6" s="1"/>
  <c r="AB30" i="6"/>
  <c r="AD30" i="6"/>
  <c r="AB24" i="6"/>
  <c r="Z24" i="6"/>
  <c r="AF24" i="6" s="1"/>
  <c r="AA24" i="6"/>
  <c r="AD24" i="6"/>
  <c r="AA40" i="6"/>
  <c r="AB40" i="6"/>
  <c r="AD40" i="6"/>
  <c r="AA20" i="6"/>
  <c r="Z20" i="6"/>
  <c r="AF20" i="6" s="1"/>
  <c r="AB20" i="6"/>
  <c r="AD20" i="6"/>
  <c r="AD22" i="6"/>
  <c r="Z22" i="6"/>
  <c r="AF22" i="6" s="1"/>
  <c r="AA22" i="6"/>
  <c r="AB22" i="6"/>
  <c r="X29" i="6" a="1"/>
  <c r="X29" i="6" s="1"/>
  <c r="Y29" i="6"/>
  <c r="Z28" i="6"/>
  <c r="AF28" i="6" s="1"/>
  <c r="AD28" i="6"/>
  <c r="AA28" i="6"/>
  <c r="AB28" i="6"/>
  <c r="X31" i="6" a="1"/>
  <c r="X31" i="6" s="1"/>
  <c r="Y31" i="6"/>
  <c r="AA38" i="6"/>
  <c r="Z38" i="6"/>
  <c r="AF38" i="6" s="1"/>
  <c r="AB38" i="6"/>
  <c r="AD38" i="6"/>
  <c r="K24" i="6"/>
  <c r="J32" i="6"/>
  <c r="P32" i="6" s="1"/>
  <c r="K32" i="6"/>
  <c r="M48" i="6"/>
  <c r="P48" i="6" s="1"/>
  <c r="L31" i="6"/>
  <c r="K31" i="6"/>
  <c r="K38" i="6"/>
  <c r="L38" i="6"/>
  <c r="M46" i="6"/>
  <c r="P46" i="6" s="1"/>
  <c r="M49" i="6"/>
  <c r="L36" i="6"/>
  <c r="K36" i="6"/>
  <c r="L28" i="6"/>
  <c r="K28" i="6"/>
  <c r="K39" i="6"/>
  <c r="J39" i="6"/>
  <c r="P39" i="6" s="1"/>
  <c r="L39" i="6"/>
  <c r="K20" i="6"/>
  <c r="J20" i="6"/>
  <c r="P20" i="6" s="1"/>
  <c r="L20" i="6"/>
  <c r="L23" i="6"/>
  <c r="K23" i="6"/>
  <c r="J23" i="6"/>
  <c r="P23" i="6" s="1"/>
  <c r="N50" i="6" l="1"/>
  <c r="O50" i="6" s="1"/>
  <c r="P49" i="6"/>
  <c r="J37" i="6"/>
  <c r="P37" i="6" s="1"/>
  <c r="K22" i="6"/>
  <c r="J38" i="6"/>
  <c r="P38" i="6" s="1"/>
  <c r="L22" i="6"/>
  <c r="K37" i="6"/>
  <c r="E65" i="6"/>
  <c r="L30" i="6"/>
  <c r="K30" i="6"/>
  <c r="J30" i="6"/>
  <c r="P30" i="6" s="1"/>
  <c r="J22" i="6"/>
  <c r="P22" i="6" s="1"/>
  <c r="AA37" i="6"/>
  <c r="AB37" i="6"/>
  <c r="AD37" i="6"/>
  <c r="Z37" i="6"/>
  <c r="AF37" i="6" s="1"/>
  <c r="Z39" i="6"/>
  <c r="AF39" i="6" s="1"/>
  <c r="AA39" i="6"/>
  <c r="AB39" i="6"/>
  <c r="AD39" i="6"/>
  <c r="AB31" i="6"/>
  <c r="AD31" i="6"/>
  <c r="Z31" i="6"/>
  <c r="AF31" i="6" s="1"/>
  <c r="AA31" i="6"/>
  <c r="M47" i="6"/>
  <c r="N29" i="6"/>
  <c r="L29" i="6"/>
  <c r="J29" i="6"/>
  <c r="P29" i="6" s="1"/>
  <c r="K29" i="6"/>
  <c r="N37" i="6"/>
  <c r="L37" i="6"/>
  <c r="AD23" i="6"/>
  <c r="Z23" i="6"/>
  <c r="AF23" i="6" s="1"/>
  <c r="AB23" i="6"/>
  <c r="AA23" i="6"/>
  <c r="AA29" i="6"/>
  <c r="AB29" i="6"/>
  <c r="Z29" i="6"/>
  <c r="AF29" i="6" s="1"/>
  <c r="AD29" i="6"/>
  <c r="Z21" i="6"/>
  <c r="AF21" i="6" s="1"/>
  <c r="AB21" i="6"/>
  <c r="AD21" i="6"/>
  <c r="AA21" i="6"/>
  <c r="N21" i="6"/>
  <c r="K21" i="6"/>
  <c r="J21" i="6"/>
  <c r="P21" i="6" s="1"/>
  <c r="L21" i="6"/>
  <c r="N49" i="6"/>
  <c r="O49" i="6" s="1"/>
  <c r="N46" i="6"/>
  <c r="O46" i="6" s="1"/>
  <c r="N48" i="6"/>
  <c r="O48" i="6" s="1"/>
  <c r="L65" i="6" l="1"/>
  <c r="L66" i="6"/>
  <c r="L64" i="6" a="1"/>
  <c r="L64" i="6" s="1"/>
  <c r="N47" i="6"/>
  <c r="O47" i="6" s="1"/>
  <c r="P47" i="6"/>
  <c r="E67" i="6" s="1" a="1"/>
  <c r="E67" i="6" s="1"/>
  <c r="E6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Yeo-Min Yun</author>
  </authors>
  <commentList>
    <comment ref="F55" authorId="0" shapeId="0" xr:uid="{62E733DB-EC1F-437D-AD45-63B7F896011E}">
      <text>
        <r>
          <rPr>
            <b/>
            <sz val="9"/>
            <color indexed="81"/>
            <rFont val="Tahoma"/>
            <family val="2"/>
          </rPr>
          <t>Yeo-Min Yun:</t>
        </r>
        <r>
          <rPr>
            <sz val="9"/>
            <color indexed="81"/>
            <rFont val="Tahoma"/>
            <family val="2"/>
          </rPr>
          <t xml:space="preserve">
출처: 검토_가이드 시트 ② 항 / 참조파일 member_기준 시트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<sst xmlns="http://schemas.openxmlformats.org/spreadsheetml/2006/main" count="706" uniqueCount="288">
  <si>
    <t>CON</t>
  </si>
  <si>
    <t>ABS</t>
  </si>
  <si>
    <t>B1</t>
  </si>
  <si>
    <t>Standard</t>
  </si>
  <si>
    <t>B2</t>
  </si>
  <si>
    <t>25_1</t>
  </si>
  <si>
    <t>25_2</t>
  </si>
  <si>
    <t>50_1</t>
  </si>
  <si>
    <t>50_2</t>
  </si>
  <si>
    <t>100_1</t>
  </si>
  <si>
    <t>100_2</t>
  </si>
  <si>
    <t>200_1</t>
  </si>
  <si>
    <t>200_2</t>
  </si>
  <si>
    <t>300_1</t>
  </si>
  <si>
    <t>300_2</t>
  </si>
  <si>
    <t>400_1</t>
  </si>
  <si>
    <t>400_2</t>
  </si>
  <si>
    <t>STANDARD 제조일: 2025-10-22</t>
  </si>
  <si>
    <t>* 실험일 : 2026-06-24        *실험담당 : 이현애</t>
  </si>
  <si>
    <t>* Abs 측정장비 :Shimadzu UV-2700</t>
  </si>
  <si>
    <t>NIST2_1</t>
  </si>
  <si>
    <t>Unknown</t>
  </si>
  <si>
    <t>A.value</t>
  </si>
  <si>
    <t>R1</t>
  </si>
  <si>
    <t>R2</t>
  </si>
  <si>
    <t>R3</t>
  </si>
  <si>
    <t>mean</t>
  </si>
  <si>
    <t xml:space="preserve">stdev </t>
  </si>
  <si>
    <t>cv</t>
  </si>
  <si>
    <t>bias</t>
  </si>
  <si>
    <t>NIST2_2</t>
  </si>
  <si>
    <t>QC</t>
  </si>
  <si>
    <t>NIST2</t>
  </si>
  <si>
    <t>NIST2_3</t>
  </si>
  <si>
    <t>BF Control</t>
  </si>
  <si>
    <t>CFS 21-01</t>
  </si>
  <si>
    <t>BF Sample</t>
  </si>
  <si>
    <t>CS 01-01</t>
  </si>
  <si>
    <t>BF CFS2101_1</t>
  </si>
  <si>
    <t>CS 01-02</t>
  </si>
  <si>
    <t>BF CFS2101_2</t>
  </si>
  <si>
    <t>CS 02-01</t>
  </si>
  <si>
    <t>BF CFS2101_3</t>
  </si>
  <si>
    <t>CS 02-02</t>
  </si>
  <si>
    <t>BF QAS CNU 1703_1</t>
  </si>
  <si>
    <t>CS 03-01</t>
  </si>
  <si>
    <t>BF QAS CNU 1703_2</t>
  </si>
  <si>
    <t>CS 03-02</t>
  </si>
  <si>
    <t>BF QAS CNU 1703_3</t>
  </si>
  <si>
    <t>HDL Control x1.09</t>
  </si>
  <si>
    <t>BF CS 0101_1</t>
  </si>
  <si>
    <t>BF CS 0101_2</t>
  </si>
  <si>
    <t>HDL Sample
x1.09</t>
  </si>
  <si>
    <t>BF CS 0101_3</t>
  </si>
  <si>
    <t>BF CS 0102_1</t>
  </si>
  <si>
    <t>BF CS 0102_2</t>
  </si>
  <si>
    <t>BF CS 0102_3</t>
  </si>
  <si>
    <t>BF CS 0201_1</t>
  </si>
  <si>
    <t>BF CS 0201_2</t>
  </si>
  <si>
    <t>LDL Control</t>
  </si>
  <si>
    <t>BF CS 0201_3</t>
  </si>
  <si>
    <t>BF CS 0202_1</t>
  </si>
  <si>
    <t xml:space="preserve">LDL </t>
  </si>
  <si>
    <t>BF CS 0202_2</t>
  </si>
  <si>
    <t>BF CS 0202_3</t>
  </si>
  <si>
    <t>BF CS 0301_1</t>
  </si>
  <si>
    <t>BF CS 0301_2</t>
  </si>
  <si>
    <t>BF CS 0301_3</t>
  </si>
  <si>
    <t>BF CS 0302_1</t>
  </si>
  <si>
    <t>BF CS 0302_2</t>
  </si>
  <si>
    <t>BF CS 0302_3</t>
  </si>
  <si>
    <t>HDL CFS2101_1</t>
  </si>
  <si>
    <t>HDL CFS2101_2</t>
  </si>
  <si>
    <t>HDL CFS2101_3</t>
  </si>
  <si>
    <t>HDL QAS CNU 1703_1</t>
  </si>
  <si>
    <t>HDL QAS CNU 1703_2</t>
  </si>
  <si>
    <t>HDL QAS CNU 1703_3</t>
  </si>
  <si>
    <t>HDL CS 0101_1</t>
  </si>
  <si>
    <t>HDL CS 0101_2</t>
  </si>
  <si>
    <t>HDL CS 0101_3</t>
  </si>
  <si>
    <t>HDL CS 0102_1</t>
  </si>
  <si>
    <t>HDL CS 0102_2</t>
  </si>
  <si>
    <t>HDL CS 0102_3</t>
  </si>
  <si>
    <t>HDL CS 0201_1</t>
  </si>
  <si>
    <t>HDL CS 0201_2</t>
  </si>
  <si>
    <t>HDL CS 0201_3</t>
  </si>
  <si>
    <t>HDL CS 0202_1</t>
  </si>
  <si>
    <t>HDL CS 0202_2</t>
  </si>
  <si>
    <t>HDL CS 0202_3</t>
  </si>
  <si>
    <t>HDL CS 0301_1</t>
  </si>
  <si>
    <t>HDL CS 0301_2</t>
  </si>
  <si>
    <t>HDL CS 0301_3</t>
  </si>
  <si>
    <t>HDL CS 0302_1</t>
  </si>
  <si>
    <t>HDL CS 0302_2</t>
  </si>
  <si>
    <t>HDL CS 0302_3</t>
  </si>
  <si>
    <t>CRMLN 반기(1년 2회) 측정결과 검토 템플릿 — 사용 가이드</t>
  </si>
  <si>
    <t>KDCA NMRL(Lab 509) · HDL-C / LDL-C(β-quantification) · Claude for Excel 연계용</t>
  </si>
  <si>
    <t>① 사용 방법 (매 회차)</t>
  </si>
  <si>
    <t>1. [결과정리] 시트의 R1·R2·R3 열(Day1: E·F·G / Day2: Q·R·S)에 새 회차 측정값을 붙여넣습니다.</t>
  </si>
  <si>
    <t>2. CS 검체의 채택 2반복 셀이 자동으로 노란색으로 표시됩니다(선택 기준: 종합 BF+HDL 상대편차·균형, 검체별 동일 R index 잠금).</t>
  </si>
  <si>
    <t>3. QC·Control(NIST·CFS·Q2)의 bias가 CRMLN member 기준을 초과하면 해당 bias 셀이 자동으로 빨간색으로 표시됩니다.</t>
  </si>
  <si>
    <t>② CRMLN member laboratory 판정 기준 (자동 빨강 표시 기준)</t>
  </si>
  <si>
    <t>항목</t>
  </si>
  <si>
    <t>관리물질</t>
  </si>
  <si>
    <t>기준</t>
  </si>
  <si>
    <t>비고</t>
  </si>
  <si>
    <t>NIST (TC)</t>
  </si>
  <si>
    <t>NIST1·2</t>
  </si>
  <si>
    <t>bias ±1%</t>
  </si>
  <si>
    <t>SRM 1951 정확도 앵커</t>
  </si>
  <si>
    <t>BF (하부분획)</t>
  </si>
  <si>
    <t>CFS·Q2</t>
  </si>
  <si>
    <t>bias ±2%</t>
  </si>
  <si>
    <t>LDL 기준 준용(BF=LDL 상류)</t>
  </si>
  <si>
    <t>HDL-C</t>
  </si>
  <si>
    <t>bias ±1 mg/dL</t>
  </si>
  <si>
    <t>저농도 → mg/dL로 판정</t>
  </si>
  <si>
    <t>LDL-C</t>
  </si>
  <si>
    <t>③ 선택(채택) 로직</t>
  </si>
  <si>
    <t>· 각 CS 검체·Day에서 R1/R2/R3 중 1개를 제외하고 2개를 채택합니다.</t>
  </si>
  <si>
    <t>· BF·HDL·LDL은 동일 R index로 잠금 채택(LDL = BF − HDL 정합 유지).</t>
  </si>
  <si>
    <t>· QC·Control은 제출 대상이 아니므로 선택·표시하지 않습니다(전체 3반복 사용).</t>
  </si>
  <si>
    <t>· 방법론 원칙: 정밀도 기반 선택이며, 결과를 유리하게 만들기 위한 선택은 지양.</t>
  </si>
  <si>
    <t>Excel의 Claude for Excel add-in 대화창에 아래 문장을 붙여넣어 검토를 이어갈 수 있습니다.</t>
  </si>
  <si>
    <t>"[결과정리] 시트에서 CS 검체별 채택 2반복(노란색)의 평균을 BF·HDL·LDL 각각 계산해 제출용 표로 만들어줘. LDL=BF−HDL 정합도 확인해줘."</t>
  </si>
  <si>
    <t>"QC·Control의 bias를 CRMLN member 기준(NIST ±1%, BF·LDL ±2%, HDL ±1 mg/dL)으로 판정하고, 초과 항목과 원인 가설을 요약해줘."</t>
  </si>
  <si>
    <t>"이번 회차 CS 검체 반복 CV와 Day1–Day2 재현성을 계산하고, member 정밀도 기준(TC 1%·LDL 1.5%·HDL 1SD) 대비 판정표를 만들어줘."</t>
  </si>
  <si>
    <t>"직전 회차 시트와 비교해 QC bias 변화(경향·변동성)를 표로 정리하고, 참고검사법 성능 개선 관점의 고찰을 3줄로 써줘."</t>
  </si>
  <si>
    <t>"제출용 값은 CDC 참조법 회신 전 잠정임을 명시하고, 최종 확정 체크리스트를 만들어줘."</t>
  </si>
  <si>
    <t>※ Claude for Excel은 Pro·Max·Team·Enterprise 플랜에서 Excel(웹·Windows·Mac·iPad) add-in으로 사용합니다. 매크로·VBA는 지원하지 않습니다. 감사·최종 제출 산출물은 반드시 검토자 확인 후 확정하십시오.</t>
  </si>
  <si>
    <t>* 실험일 : 2026-06-18        *실험담당 : 이현애</t>
  </si>
  <si>
    <t>NIST1_1</t>
  </si>
  <si>
    <t>NIST1_2</t>
  </si>
  <si>
    <t>NIST1</t>
  </si>
  <si>
    <t>NIST1_3</t>
  </si>
  <si>
    <t>Q2</t>
  </si>
  <si>
    <t>BF Q2_1</t>
  </si>
  <si>
    <t>BF Q2_2</t>
  </si>
  <si>
    <t>BF Q2_3</t>
  </si>
  <si>
    <t>HDL Q2_1</t>
  </si>
  <si>
    <t>HDL Q2_2</t>
  </si>
  <si>
    <t>HDL Q2_3</t>
  </si>
  <si>
    <t>DAY 1</t>
  </si>
  <si>
    <t>DAY 2</t>
  </si>
  <si>
    <t>bias(%)</t>
  </si>
  <si>
    <t>bias(mg/dl)</t>
  </si>
  <si>
    <t>CRMLN 제출 결과 선택 검토 (2026-07 회차)</t>
  </si>
  <si>
    <t>선택 옵션</t>
  </si>
  <si>
    <t>옵션 설명</t>
  </si>
  <si>
    <t>편차 가중치</t>
  </si>
  <si>
    <t>← BF / HDL / LDL 가중치 (옵션에 따라 자동)</t>
  </si>
  <si>
    <t>참고</t>
  </si>
  <si>
    <t>검체</t>
  </si>
  <si>
    <t>Day</t>
  </si>
  <si>
    <t>검체idx</t>
  </si>
  <si>
    <t>BF행</t>
  </si>
  <si>
    <t>BF R1</t>
  </si>
  <si>
    <t>BF R2</t>
  </si>
  <si>
    <t>BF R3</t>
  </si>
  <si>
    <t>HDL R1</t>
  </si>
  <si>
    <t>HDL R2</t>
  </si>
  <si>
    <t>HDL R3</t>
  </si>
  <si>
    <t>LDL R1</t>
  </si>
  <si>
    <t>LDL R2</t>
  </si>
  <si>
    <t>LDL R3</t>
  </si>
  <si>
    <t>자동 제외R</t>
  </si>
  <si>
    <t>수동 제외R</t>
  </si>
  <si>
    <t>적용 제외R</t>
  </si>
  <si>
    <t>제외idx</t>
  </si>
  <si>
    <t>채택 R</t>
  </si>
  <si>
    <t>BF 채택평균</t>
  </si>
  <si>
    <t>HDL 채택평균</t>
  </si>
  <si>
    <t>LDL 채택평균</t>
  </si>
  <si>
    <t>채택 LDL CV%</t>
  </si>
  <si>
    <t>CV 판정</t>
  </si>
  <si>
    <t>참조 제외R</t>
  </si>
  <si>
    <t>참조 대비</t>
  </si>
  <si>
    <t>Day1</t>
  </si>
  <si>
    <t>Day2</t>
  </si>
  <si>
    <t>값</t>
  </si>
  <si>
    <t>단위</t>
  </si>
  <si>
    <t>TC (NIST)</t>
  </si>
  <si>
    <t>%</t>
  </si>
  <si>
    <t>mg/dL</t>
  </si>
  <si>
    <t>β-quantification</t>
  </si>
  <si>
    <t>LDL 반복 정밀도</t>
  </si>
  <si>
    <t>CV ≤ 1.5%</t>
  </si>
  <si>
    <t>채택 2반복 CV · Day간 재현성 판정에 공통 적용</t>
  </si>
  <si>
    <t>idx</t>
  </si>
  <si>
    <t>BF Day1</t>
  </si>
  <si>
    <t>BF Day2</t>
  </si>
  <si>
    <t>BF 제출값</t>
  </si>
  <si>
    <t>HDL Day1</t>
  </si>
  <si>
    <t>HDL Day2</t>
  </si>
  <si>
    <t>HDL 제출값</t>
  </si>
  <si>
    <t>LDL Day1</t>
  </si>
  <si>
    <t>LDL Day2</t>
  </si>
  <si>
    <t>LDL 제출값</t>
  </si>
  <si>
    <t>Day간 LDL 차이%</t>
  </si>
  <si>
    <t>재현성 판정</t>
  </si>
  <si>
    <t>LDL 정합차이</t>
  </si>
  <si>
    <t>④ 검토 요약</t>
  </si>
  <si>
    <t>적용 선택 옵션</t>
  </si>
  <si>
    <t>참조(대시보드 제출선택_2026.7) 선택과 일치 건수</t>
  </si>
  <si>
    <t>Day간 LDL 재현성 확인 필요 검체 수</t>
  </si>
  <si>
    <t>LDL 정합(BF−HDL) 최대 절대편차</t>
  </si>
  <si>
    <t>채택 2반복 LDL CV 기준(≤ 1.5%) 초과 건수</t>
  </si>
  <si>
    <t>KDCA NMRL(Lab 509) · [2026-07_결과정리] 시트 양식 기준 · 채택 2반복 = 노란색 표시</t>
  </si>
  <si>
    <t>옵션을 바꾸면 아래 표의 채택 셀(노란색)·평균·판정이 즉시 재계산됩니다. QC·Control은 선택 대상이 아니며 3반복 전체를 사용합니다.</t>
  </si>
  <si>
    <t>⑤ 부록 — 선택 계산 근거 (검체·Day별 제외/채택 판정)</t>
  </si>
  <si>
    <t>① 검체·Day별 선택 결과 (결과정리 시트 양식 · 채택 2반복 = 노란색)</t>
  </si>
  <si>
    <t>구분</t>
  </si>
  <si>
    <t>mean(채택)</t>
  </si>
  <si>
    <t>stdev</t>
  </si>
  <si>
    <t>② 제출용 요약 (채택 2반복 · Day1·Day2 평균)</t>
  </si>
  <si>
    <t>③ 판정 기준 (CRMLN member laboratory)</t>
  </si>
  <si>
    <t>※ 제출값은 CDC 참조법 회신 전 잠정치이며, 선택은 정밀도 기반 원칙을 따릅니다. 최종 확정은 검토자 확인 후.</t>
  </si>
  <si>
    <t>드롭다운 소스(대시보드 ③ 선택 옵션과 동일)</t>
  </si>
  <si>
    <t>종합 (BF+HDL 상대편차) · 균형 [기본]</t>
  </si>
  <si>
    <t>LDL 결과 우선 (LDL 편차 최소)</t>
  </si>
  <si>
    <t>BF(하부분획) 우선</t>
  </si>
  <si>
    <t>HDL 우선</t>
  </si>
  <si>
    <t>3항목 종합 (BF+HDL+LDL)</t>
  </si>
  <si>
    <t>최소분산 쌍 (가장 근접 2개 채택)</t>
  </si>
  <si>
    <t>HDL 높은값 우선 (상위 2개 채택)</t>
  </si>
  <si>
    <t>HDL 낮은값 우선 (하위 2개 채택)</t>
  </si>
  <si>
    <t>BF 높은값 우선 (상위 2개 채택)</t>
  </si>
  <si>
    <t>BF 낮은값 우선 (하위 2개 채택)</t>
  </si>
  <si>
    <t>3반복 전체 (참고·선택 미적용)</t>
  </si>
  <si>
    <t>수동 지정 (직접 입력)</t>
  </si>
  <si>
    <t>정밀도 기준 (권장)</t>
  </si>
  <si>
    <t>방향성 (민감도·what-if)</t>
  </si>
  <si>
    <t>기타(검토용)</t>
  </si>
  <si>
    <t>적용 로직</t>
  </si>
  <si>
    <t>편차점수 R1</t>
  </si>
  <si>
    <t>편차점수 R2</t>
  </si>
  <si>
    <t>편차점수 R3</t>
  </si>
  <si>
    <t>기본(종합) 점수 R1</t>
  </si>
  <si>
    <t>기본(종합) 점수 R2</t>
  </si>
  <si>
    <t>기본(종합) 점수 R3</t>
  </si>
  <si>
    <t>기본 제외idx</t>
  </si>
  <si>
    <t>기본(종합) 채택</t>
  </si>
  <si>
    <t>Δ 평균 (옵션−기본)</t>
  </si>
  <si>
    <t>기본 CV%</t>
  </si>
  <si>
    <t>Δ CV%p (옵션−기본)</t>
  </si>
  <si>
    <t>D1 제외idx</t>
  </si>
  <si>
    <t>D2 제외idx</t>
  </si>
  <si>
    <t>D1 기본idx</t>
  </si>
  <si>
    <t>D2 기본idx</t>
  </si>
  <si>
    <t>잔여쌍 간격(R1제외)</t>
  </si>
  <si>
    <t>잔여쌍 간격(R2제외)</t>
  </si>
  <si>
    <t>잔여쌍 간격(R3제외)</t>
  </si>
  <si>
    <t>— 기본(종합) 대비 비교</t>
  </si>
  <si>
    <t>기본(종합)과 다른 채택 건수</t>
  </si>
  <si>
    <t>기본 대비 LDL 채택평균 최대 |Δ| (mg/dL)</t>
  </si>
  <si>
    <t>정밀도 개선 건수 (ΔCV &lt; 0)</t>
  </si>
  <si>
    <t>정밀도 악화 건수 (ΔCV &gt; 0)</t>
  </si>
  <si>
    <t>SD 기준</t>
  </si>
  <si>
    <t>표본 SD(STDEV) · 대시보드는 모집단 SD → 본 시트 CV = 대시보드 × √2</t>
  </si>
  <si>
    <t>④ [제출결과_선택검토] 시트 — 선택 옵션별 제출결과 검토</t>
  </si>
  <si>
    <t>· 목적: [2026-07_결과정리] 시트와 동일한 DAY1·DAY2 표 양식으로 선택 결과를 재현하고, 선택 옵션을 바꿔가며 채택값·정밀도를 비교합니다.</t>
  </si>
  <si>
    <t>· 사용법: [C4] 드롭다운에서 옵션을 고르면 ① 표의 채택 셀(노란색)·제외 셀(회색)·평균·CV·판정과 ②~④ 요약이 즉시 재계산됩니다.</t>
  </si>
  <si>
    <t>· '수동 지정' 선택 시 부록 ⑤ 표의 S열(수동 제외R)에 검체·Day별로 R1/R2/R3을 직접 입력합니다.</t>
  </si>
  <si>
    <t>제외/채택 로직</t>
  </si>
  <si>
    <t>median 대비 BF+HDL 상대편차(%) 합이 가장 큰 replicate 1개 제외</t>
  </si>
  <si>
    <t>LDL 상대편차가 가장 큰 replicate 1개 제외</t>
  </si>
  <si>
    <t>BF 상대편차가 가장 큰 replicate 1개 제외</t>
  </si>
  <si>
    <t>HDL 상대편차가 가장 큰 replicate 1개 제외</t>
  </si>
  <si>
    <t>BF+HDL+LDL 상대편차 합이 가장 큰 replicate 1개 제외</t>
  </si>
  <si>
    <t>잔여 2개의 상대간격 합(BF+HDL+LDL)이 최소가 되도록 1개 제외</t>
  </si>
  <si>
    <t>HDL 최저값 replicate 제외</t>
  </si>
  <si>
    <t>HDL 최고값 replicate 제외</t>
  </si>
  <si>
    <t>BF 최저값 replicate 제외</t>
  </si>
  <si>
    <t>BF 최고값 replicate 제외</t>
  </si>
  <si>
    <t>기타 (검토용)</t>
  </si>
  <si>
    <t>제외 없이 R1·R2·R3 평균 사용</t>
  </si>
  <si>
    <t>부록 ⑤ S열에 지정한 replicate 제외</t>
  </si>
  <si>
    <t>· 기본(종합) 대비 비교 컬럼: 각 Day 블록 오른쪽에 [기본(종합) 채택 / Δ 평균 / 기본 CV% / Δ CV%p]가 표시됩니다.</t>
  </si>
  <si>
    <t xml:space="preserve">   - Δ 평균 ≠ 0 → 기본 선택과 채택 조합이 달라진 검체·Day (노란 강조)</t>
  </si>
  <si>
    <t xml:space="preserve">   - Δ CV%p &lt; 0(초록) 정밀도 개선 · &gt; 0(주황) 정밀도 악화</t>
  </si>
  <si>
    <t>· 시트 구성: ① 선택 결과(결과정리 양식) → ② 제출용 요약 → ③ 판정 기준 → ④ 검토 요약 → ⑤ 부록(선택 계산 근거·수동 입력)</t>
  </si>
  <si>
    <t>· QC·Control(NIST·CFS·Q2)은 선택 대상이 아니며 3반복 전체를 사용합니다(대시보드와 동일).</t>
  </si>
  <si>
    <t>⚠ 방향성 옵션은 값의 크기로 채택하는 민감도 분석 전용입니다. 제출용 선택은 반드시 정밀도 기준 옵션을 사용하십시오.</t>
  </si>
  <si>
    <t>※ CV 산출: 본 시트는 결과정리 시트와 동일하게 표본 SD(STDEV)를 사용합니다. 웹대시보드는 모집단 SD를 사용하므로 본 시트 CV = 대시보드 CV × √2 입니다.</t>
  </si>
  <si>
    <t>⑤ Claude for Excel 활용 프롬프트 (복사해서 사용)</t>
  </si>
  <si>
    <t>4. 값만 바꾸면 색상이 즉시 재계산되므로 별도 조작이 필요 없습니다(수식·조건부 서식 기반). 선택 기준을 바꿔 비교하려면 [제출결과_선택검토] 시트의 선택 옵션(C4)을 사용합니다.</t>
  </si>
  <si>
    <t>· 제외 기준: BF·HDL 각각 median 대비 상대편차(%)의 합이 가장 큰 replicate(=이상치)를 제외 — 기본(종합) 옵션이며, [제출결과_선택검토] 시트에서 12종 옵션으로 변경·비교할 수 있습니다.</t>
  </si>
  <si>
    <t>"[제출결과_선택검토] 시트에서 선택 옵션을 종합·LDL 우선·최소분산 쌍으로 각각 바꿔 채택값과 CV 변화를 비교하고, 제출 권고안을 정리해줘."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</si>
</sst>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00"/>
    <numFmt numFmtId="177" formatCode="0.0"/>
    <numFmt numFmtId="178" formatCode="0.000_ "/>
    <numFmt numFmtId="179" formatCode="0.0_ "/>
    <numFmt numFmtId="180" formatCode="0.00_ "/>
    <numFmt numFmtId="181" formatCode="0.000000000000000_ "/>
    <numFmt numFmtId="182" formatCode="0.000"/>
    <numFmt numFmtId="183" formatCode="0.000000"/>
    <numFmt numFmtId="184" formatCode="\+0.00;\-0.00;0.00"/>
    <numFmt numFmtId="185" formatCode="\+0.000;\-0.000;0.000"/>
  </numFmts>
  <fonts count="5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  <font>
      <b/>
      <sz val="11"/>
      <color rgb="FF0070C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FF0000"/>
      <name val="Arial Unicode MS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5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10"/>
      <color rgb="FF222222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888888"/>
      <name val="맑은 고딕"/>
      <family val="3"/>
      <charset val="129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2"/>
      <charset val="129"/>
      <scheme val="minor"/>
    </font>
    <font>
      <i/>
      <sz val="11"/>
      <color rgb="FF595959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13"/>
      <color rgb="FFC00000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2"/>
      <charset val="129"/>
      <scheme val="minor"/>
    </font>
    <font>
      <b/>
      <sz val="11"/>
      <color rgb="FFC00000"/>
      <name val="맑은 고딕"/>
      <family val="2"/>
      <charset val="129"/>
      <scheme val="minor"/>
    </font>
    <font>
      <b/>
      <sz val="11"/>
      <color rgb="FF00800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7F7F7F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1F6B3B"/>
      <name val="맑은 고딕"/>
      <family val="2"/>
      <charset val="129"/>
      <scheme val="minor"/>
    </font>
    <font>
      <b/>
      <sz val="10"/>
      <color rgb="FFB26B00"/>
      <name val="맑은 고딕"/>
      <family val="2"/>
      <charset val="129"/>
      <scheme val="minor"/>
    </font>
    <font>
      <b/>
      <sz val="10"/>
      <color rgb="FF666666"/>
      <name val="맑은 고딕"/>
      <family val="2"/>
      <charset val="129"/>
      <scheme val="minor"/>
    </font>
    <font>
      <i/>
      <sz val="11"/>
      <color rgb="FF666666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1F3A5F"/>
      </patternFill>
    </fill>
    <fill>
      <patternFill patternType="solid">
        <fgColor rgb="FF2C6E9B"/>
      </patternFill>
    </fill>
    <fill>
      <patternFill patternType="solid">
        <fgColor rgb="FFEEF2F6"/>
      </patternFill>
    </fill>
    <fill>
      <patternFill patternType="solid">
        <fgColor rgb="FFF5F8FA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2C6E9B"/>
        <bgColor indexed="64"/>
      </patternFill>
    </fill>
    <fill>
      <patternFill patternType="solid">
        <fgColor rgb="FFEEF2F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20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2" fontId="0" fillId="0" borderId="5" xfId="0" applyNumberFormat="1" applyBorder="1">
      <alignment vertical="center"/>
    </xf>
    <xf numFmtId="2" fontId="0" fillId="0" borderId="0" xfId="0" applyNumberFormat="1">
      <alignment vertical="center"/>
    </xf>
    <xf numFmtId="2" fontId="0" fillId="0" borderId="6" xfId="0" applyNumberFormat="1" applyBorder="1">
      <alignment vertical="center"/>
    </xf>
    <xf numFmtId="2" fontId="0" fillId="0" borderId="11" xfId="0" applyNumberFormat="1" applyBorder="1">
      <alignment vertical="center"/>
    </xf>
    <xf numFmtId="2" fontId="0" fillId="0" borderId="9" xfId="0" applyNumberFormat="1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2" fontId="0" fillId="0" borderId="14" xfId="0" applyNumberFormat="1" applyBorder="1">
      <alignment vertical="center"/>
    </xf>
    <xf numFmtId="176" fontId="0" fillId="0" borderId="0" xfId="0" applyNumberFormat="1">
      <alignment vertical="center"/>
    </xf>
    <xf numFmtId="2" fontId="0" fillId="0" borderId="12" xfId="0" applyNumberFormat="1" applyBorder="1">
      <alignment vertical="center"/>
    </xf>
    <xf numFmtId="2" fontId="2" fillId="0" borderId="0" xfId="0" applyNumberFormat="1" applyFont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2" fontId="0" fillId="0" borderId="8" xfId="0" applyNumberFormat="1" applyBorder="1">
      <alignment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7" xfId="0" applyFont="1" applyBorder="1">
      <alignment vertical="center"/>
    </xf>
    <xf numFmtId="0" fontId="2" fillId="0" borderId="7" xfId="0" applyFont="1" applyBorder="1">
      <alignment vertical="center"/>
    </xf>
    <xf numFmtId="0" fontId="5" fillId="0" borderId="10" xfId="0" applyFont="1" applyBorder="1">
      <alignment vertical="center"/>
    </xf>
    <xf numFmtId="2" fontId="0" fillId="0" borderId="15" xfId="0" applyNumberFormat="1" applyBorder="1">
      <alignment vertical="center"/>
    </xf>
    <xf numFmtId="0" fontId="9" fillId="0" borderId="0" xfId="1"/>
    <xf numFmtId="0" fontId="9" fillId="0" borderId="3" xfId="1" applyBorder="1"/>
    <xf numFmtId="0" fontId="2" fillId="2" borderId="0" xfId="0" applyFont="1" applyFill="1">
      <alignment vertical="center"/>
    </xf>
    <xf numFmtId="0" fontId="0" fillId="2" borderId="0" xfId="0" applyFill="1" applyAlignment="1">
      <alignment horizontal="right" vertical="center"/>
    </xf>
    <xf numFmtId="0" fontId="9" fillId="0" borderId="10" xfId="1" applyBorder="1"/>
    <xf numFmtId="0" fontId="8" fillId="0" borderId="7" xfId="0" applyFont="1" applyBorder="1">
      <alignment vertical="center"/>
    </xf>
    <xf numFmtId="2" fontId="3" fillId="0" borderId="13" xfId="0" applyNumberFormat="1" applyFont="1" applyBorder="1" applyAlignment="1">
      <alignment horizontal="center" vertical="center"/>
    </xf>
    <xf numFmtId="177" fontId="12" fillId="0" borderId="0" xfId="0" applyNumberFormat="1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2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6" fillId="0" borderId="10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179" fontId="0" fillId="0" borderId="0" xfId="0" applyNumberFormat="1">
      <alignment vertical="center"/>
    </xf>
    <xf numFmtId="2" fontId="13" fillId="0" borderId="15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8" fillId="0" borderId="3" xfId="0" applyFont="1" applyBorder="1" applyAlignment="1">
      <alignment horizontal="center" vertical="center"/>
    </xf>
    <xf numFmtId="181" fontId="0" fillId="0" borderId="7" xfId="0" applyNumberFormat="1" applyBorder="1">
      <alignment vertical="center"/>
    </xf>
    <xf numFmtId="0" fontId="0" fillId="0" borderId="7" xfId="0" applyBorder="1">
      <alignment vertical="center"/>
    </xf>
    <xf numFmtId="180" fontId="0" fillId="0" borderId="7" xfId="0" applyNumberFormat="1" applyBorder="1">
      <alignment vertical="center"/>
    </xf>
    <xf numFmtId="180" fontId="0" fillId="0" borderId="10" xfId="0" applyNumberFormat="1" applyBorder="1">
      <alignment vertical="center"/>
    </xf>
    <xf numFmtId="0" fontId="18" fillId="0" borderId="7" xfId="0" applyFont="1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/>
    <xf numFmtId="0" fontId="23" fillId="5" borderId="21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0" fillId="0" borderId="0" xfId="0" applyAlignment="1"/>
    <xf numFmtId="0" fontId="10" fillId="0" borderId="17" xfId="0" applyFont="1" applyBorder="1" applyAlignment="1">
      <alignment horizontal="center" vertical="center"/>
    </xf>
    <xf numFmtId="0" fontId="0" fillId="0" borderId="19" xfId="0" applyBorder="1" applyAlignment="1"/>
    <xf numFmtId="0" fontId="3" fillId="2" borderId="11" xfId="0" applyFont="1" applyFill="1" applyBorder="1" applyAlignment="1">
      <alignment horizontal="center" vertical="center"/>
    </xf>
    <xf numFmtId="0" fontId="0" fillId="0" borderId="11" xfId="0" applyBorder="1" applyAlignment="1"/>
    <xf numFmtId="0" fontId="6" fillId="0" borderId="13" xfId="0" applyFont="1" applyBorder="1" applyAlignment="1">
      <alignment horizontal="center" vertical="center"/>
    </xf>
    <xf numFmtId="0" fontId="0" fillId="0" borderId="18" xfId="0" applyBorder="1" applyAlignment="1"/>
    <xf numFmtId="0" fontId="6" fillId="0" borderId="10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10" xfId="0" applyBorder="1" applyAlignment="1"/>
    <xf numFmtId="0" fontId="6" fillId="0" borderId="3" xfId="0" applyFont="1" applyBorder="1" applyAlignment="1">
      <alignment horizontal="center" vertical="center"/>
    </xf>
    <xf numFmtId="0" fontId="0" fillId="0" borderId="20" xfId="0" applyBorder="1" applyAlignment="1"/>
    <xf numFmtId="0" fontId="6" fillId="0" borderId="17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1" fillId="4" borderId="0" xfId="0" applyFont="1" applyFill="1" applyAlignment="1">
      <alignment horizontal="left" vertical="center"/>
    </xf>
    <xf numFmtId="0" fontId="22" fillId="6" borderId="21" xfId="0" applyFont="1" applyFill="1" applyBorder="1" applyAlignment="1">
      <alignment horizontal="left" vertical="center" wrapText="1"/>
    </xf>
    <xf numFmtId="0" fontId="20" fillId="4" borderId="0" xfId="0" applyFont="1" applyFill="1" applyAlignment="1">
      <alignment horizontal="center" vertical="center"/>
    </xf>
    <xf numFmtId="0" fontId="3" fillId="2" borderId="11" xfId="0" applyFont="1" applyFill="1" applyBorder="1">
      <alignment vertical="center"/>
    </xf>
    <xf numFmtId="2" fontId="3" fillId="2" borderId="0" xfId="0" applyNumberFormat="1" applyFont="1" applyFill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>
      <alignment vertical="center"/>
    </xf>
    <xf numFmtId="0" fontId="28" fillId="0" borderId="0" xfId="0" applyFont="1">
      <alignment vertical="center"/>
    </xf>
    <xf numFmtId="0" fontId="27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5" fillId="8" borderId="22" xfId="0" applyFont="1" applyFill="1" applyBorder="1" applyAlignment="1">
      <alignment horizontal="center" vertical="center" wrapText="1"/>
    </xf>
    <xf numFmtId="0" fontId="35" fillId="8" borderId="23" xfId="0" applyFont="1" applyFill="1" applyBorder="1" applyAlignment="1">
      <alignment horizontal="center" vertical="center" wrapText="1"/>
    </xf>
    <xf numFmtId="0" fontId="0" fillId="0" borderId="23" xfId="0" applyBorder="1">
      <alignment vertical="center"/>
    </xf>
    <xf numFmtId="2" fontId="0" fillId="0" borderId="23" xfId="0" applyNumberFormat="1" applyBorder="1">
      <alignment vertical="center"/>
    </xf>
    <xf numFmtId="182" fontId="0" fillId="0" borderId="23" xfId="0" applyNumberFormat="1" applyBorder="1">
      <alignment vertical="center"/>
    </xf>
    <xf numFmtId="177" fontId="29" fillId="0" borderId="23" xfId="0" applyNumberFormat="1" applyFont="1" applyBorder="1">
      <alignment vertical="center"/>
    </xf>
    <xf numFmtId="183" fontId="0" fillId="0" borderId="0" xfId="0" applyNumberFormat="1">
      <alignment vertical="center"/>
    </xf>
    <xf numFmtId="0" fontId="0" fillId="0" borderId="23" xfId="0" applyBorder="1" applyAlignment="1">
      <alignment horizontal="center" vertical="center"/>
    </xf>
    <xf numFmtId="0" fontId="29" fillId="9" borderId="23" xfId="0" applyFont="1" applyFill="1" applyBorder="1" applyAlignment="1">
      <alignment horizontal="center" vertical="center"/>
    </xf>
    <xf numFmtId="2" fontId="36" fillId="0" borderId="23" xfId="0" applyNumberFormat="1" applyFont="1" applyBorder="1">
      <alignment vertical="center"/>
    </xf>
    <xf numFmtId="2" fontId="0" fillId="10" borderId="23" xfId="0" applyNumberFormat="1" applyFill="1" applyBorder="1">
      <alignment vertical="center"/>
    </xf>
    <xf numFmtId="0" fontId="0" fillId="11" borderId="0" xfId="0" applyFill="1">
      <alignment vertical="center"/>
    </xf>
    <xf numFmtId="0" fontId="37" fillId="11" borderId="0" xfId="0" applyFont="1" applyFill="1">
      <alignment vertical="center"/>
    </xf>
    <xf numFmtId="0" fontId="38" fillId="11" borderId="0" xfId="0" applyFont="1" applyFill="1">
      <alignment vertical="center"/>
    </xf>
    <xf numFmtId="0" fontId="38" fillId="0" borderId="0" xfId="0" applyFont="1">
      <alignment vertical="center"/>
    </xf>
    <xf numFmtId="0" fontId="40" fillId="0" borderId="0" xfId="0" applyFont="1">
      <alignment vertical="center"/>
    </xf>
    <xf numFmtId="0" fontId="27" fillId="0" borderId="23" xfId="0" applyFont="1" applyBorder="1">
      <alignment vertical="center"/>
    </xf>
    <xf numFmtId="0" fontId="39" fillId="0" borderId="23" xfId="0" applyFont="1" applyBorder="1">
      <alignment vertical="center"/>
    </xf>
    <xf numFmtId="0" fontId="40" fillId="0" borderId="23" xfId="0" applyFont="1" applyBorder="1">
      <alignment vertical="center"/>
    </xf>
    <xf numFmtId="0" fontId="41" fillId="0" borderId="23" xfId="0" applyFont="1" applyBorder="1">
      <alignment vertical="center"/>
    </xf>
    <xf numFmtId="0" fontId="27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0" fillId="0" borderId="22" xfId="0" applyBorder="1" applyAlignment="1">
      <alignment horizontal="center" vertical="center"/>
    </xf>
    <xf numFmtId="0" fontId="30" fillId="7" borderId="0" xfId="0" applyFont="1" applyFill="1" applyAlignment="1">
      <alignment horizontal="left" vertical="center" indent="1"/>
    </xf>
    <xf numFmtId="2" fontId="0" fillId="0" borderId="22" xfId="0" applyNumberFormat="1" applyBorder="1">
      <alignment vertical="center"/>
    </xf>
    <xf numFmtId="0" fontId="35" fillId="12" borderId="23" xfId="0" applyFont="1" applyFill="1" applyBorder="1" applyAlignment="1">
      <alignment horizontal="center" vertical="center" wrapText="1"/>
    </xf>
    <xf numFmtId="1" fontId="0" fillId="0" borderId="23" xfId="0" applyNumberFormat="1" applyBorder="1">
      <alignment vertical="center"/>
    </xf>
    <xf numFmtId="2" fontId="0" fillId="13" borderId="23" xfId="0" applyNumberFormat="1" applyFill="1" applyBorder="1">
      <alignment vertical="center"/>
    </xf>
    <xf numFmtId="184" fontId="0" fillId="13" borderId="23" xfId="0" applyNumberFormat="1" applyFill="1" applyBorder="1">
      <alignment vertical="center"/>
    </xf>
    <xf numFmtId="182" fontId="0" fillId="13" borderId="23" xfId="0" applyNumberFormat="1" applyFill="1" applyBorder="1">
      <alignment vertical="center"/>
    </xf>
    <xf numFmtId="185" fontId="0" fillId="13" borderId="23" xfId="0" applyNumberFormat="1" applyFill="1" applyBorder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182" fontId="0" fillId="0" borderId="0" xfId="0" applyNumberForma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44" fillId="14" borderId="0" xfId="0" applyFont="1" applyFill="1">
      <alignment vertical="center"/>
    </xf>
    <xf numFmtId="0" fontId="45" fillId="15" borderId="21" xfId="0" applyFont="1" applyFill="1" applyBorder="1" applyAlignment="1">
      <alignment horizontal="center" vertical="center"/>
    </xf>
    <xf numFmtId="0" fontId="45" fillId="0" borderId="21" xfId="0" applyFont="1" applyBorder="1">
      <alignment vertical="center"/>
    </xf>
    <xf numFmtId="0" fontId="46" fillId="0" borderId="21" xfId="0" applyFont="1" applyBorder="1">
      <alignment vertical="center"/>
    </xf>
    <xf numFmtId="0" fontId="47" fillId="0" borderId="21" xfId="0" applyFont="1" applyBorder="1">
      <alignment vertical="center"/>
    </xf>
    <xf numFmtId="0" fontId="48" fillId="0" borderId="21" xfId="0" applyFont="1" applyBorder="1">
      <alignment vertical="center"/>
    </xf>
    <xf numFmtId="0" fontId="49" fillId="0" borderId="21" xfId="0" applyFont="1" applyBorder="1">
      <alignment vertical="center"/>
    </xf>
    <xf numFmtId="0" fontId="50" fillId="0" borderId="0" xfId="0" applyFont="1">
      <alignment vertical="center"/>
    </xf>
    <xf numFmtId="0" fontId="51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표준 2" xfId="1" xr:uid="{00000000-0005-0000-0000-000001000000}"/>
  </cellStyles>
  <dxfs count="50"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8000"/>
      </font>
      <fill>
        <patternFill patternType="solid">
          <fgColor indexed="64"/>
          <bgColor rgb="FFFFFF00"/>
        </patternFill>
      </fill>
    </dxf>
    <dxf>
      <font>
        <b val="0"/>
        <i/>
        <color rgb="FFA6A6A6"/>
      </font>
      <fill>
        <patternFill patternType="solid">
          <fgColor indexed="64"/>
          <bgColor rgb="FFF2F2F2"/>
        </patternFill>
      </fill>
    </dxf>
    <dxf>
      <font>
        <color rgb="FF008000"/>
      </font>
      <fill>
        <patternFill patternType="solid">
          <fgColor indexed="64"/>
          <bgColor rgb="FFFFFF00"/>
        </patternFill>
      </fill>
    </dxf>
    <dxf>
      <font>
        <b val="0"/>
        <i/>
        <color rgb="FFA6A6A6"/>
      </font>
      <fill>
        <patternFill patternType="solid">
          <fgColor indexed="64"/>
          <bgColor rgb="FFF2F2F2"/>
        </patternFill>
      </fill>
    </dxf>
    <dxf>
      <font>
        <color rgb="FF008000"/>
      </font>
      <fill>
        <patternFill patternType="solid">
          <fgColor indexed="64"/>
          <bgColor rgb="FFFFFF00"/>
        </patternFill>
      </fill>
    </dxf>
    <dxf>
      <font>
        <b val="0"/>
        <i/>
        <color rgb="FFA6A6A6"/>
      </font>
      <fill>
        <patternFill patternType="solid">
          <fgColor indexed="64"/>
          <bgColor rgb="FFF2F2F2"/>
        </patternFill>
      </fill>
    </dxf>
    <dxf>
      <font>
        <color rgb="FF008000"/>
      </font>
      <fill>
        <patternFill patternType="solid">
          <fgColor indexed="64"/>
          <bgColor rgb="FFFFFF00"/>
        </patternFill>
      </fill>
    </dxf>
    <dxf>
      <font>
        <b val="0"/>
        <i/>
        <color rgb="FFA6A6A6"/>
      </font>
      <fill>
        <patternFill patternType="solid">
          <fgColor indexed="64"/>
          <bgColor rgb="FFF2F2F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8000"/>
      </font>
      <fill>
        <patternFill patternType="solid">
          <fgColor indexed="64"/>
          <bgColor rgb="FFFFFF00"/>
        </patternFill>
      </fill>
    </dxf>
    <dxf>
      <font>
        <b val="0"/>
        <i/>
        <color rgb="FFA6A6A6"/>
      </font>
      <fill>
        <patternFill patternType="solid">
          <fgColor indexed="64"/>
          <bgColor rgb="FFF2F2F2"/>
        </patternFill>
      </fill>
    </dxf>
    <dxf>
      <font>
        <color rgb="FF008000"/>
      </font>
      <fill>
        <patternFill patternType="solid">
          <fgColor indexed="64"/>
          <bgColor rgb="FFFFFF00"/>
        </patternFill>
      </fill>
    </dxf>
    <dxf>
      <font>
        <b val="0"/>
        <i/>
        <color rgb="FFA6A6A6"/>
      </font>
      <fill>
        <patternFill patternType="solid">
          <fgColor indexed="64"/>
          <bgColor rgb="FFF2F2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00"/>
        </patternFill>
      </fill>
    </dxf>
    <dxf>
      <fill>
        <patternFill patternType="solid">
          <fgColor rgb="FFFFF200"/>
        </patternFill>
      </fill>
    </dxf>
    <dxf>
      <fill>
        <patternFill patternType="solid">
          <fgColor rgb="FFFFF2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00"/>
        </patternFill>
      </fill>
    </dxf>
    <dxf>
      <fill>
        <patternFill patternType="solid">
          <fgColor rgb="FFFFF200"/>
        </patternFill>
      </fill>
    </dxf>
    <dxf>
      <fill>
        <patternFill patternType="solid">
          <fgColor rgb="FFFFF2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9888874461264284E-2"/>
          <c:y val="8.9639636088959293E-2"/>
          <c:w val="0.86964304025587824"/>
          <c:h val="0.8219883149761375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9.8408786582032406E-2"/>
                  <c:y val="-4.8065964645985518E-2"/>
                </c:manualLayout>
              </c:layout>
              <c:numFmt formatCode="#,##0.000000" sourceLinked="0"/>
            </c:trendlineLbl>
          </c:trendline>
          <c:xVal>
            <c:numRef>
              <c:f>'RESULT(Conc)_DAY1'!$D$3:$D$16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26.59</c:v>
                </c:pt>
                <c:pt idx="3">
                  <c:v>26.59</c:v>
                </c:pt>
                <c:pt idx="4">
                  <c:v>53</c:v>
                </c:pt>
                <c:pt idx="5">
                  <c:v>53</c:v>
                </c:pt>
                <c:pt idx="6">
                  <c:v>106.08</c:v>
                </c:pt>
                <c:pt idx="7">
                  <c:v>106.08</c:v>
                </c:pt>
                <c:pt idx="8">
                  <c:v>212.8</c:v>
                </c:pt>
                <c:pt idx="9">
                  <c:v>212.8</c:v>
                </c:pt>
                <c:pt idx="10">
                  <c:v>319.43</c:v>
                </c:pt>
                <c:pt idx="11">
                  <c:v>319.43</c:v>
                </c:pt>
                <c:pt idx="12">
                  <c:v>427.25</c:v>
                </c:pt>
                <c:pt idx="13">
                  <c:v>427.25</c:v>
                </c:pt>
              </c:numCache>
            </c:numRef>
          </c:xVal>
          <c:yVal>
            <c:numRef>
              <c:f>'RESULT(Conc)_DAY1'!$E$3:$E$16</c:f>
              <c:numCache>
                <c:formatCode>General</c:formatCode>
                <c:ptCount val="14"/>
                <c:pt idx="0">
                  <c:v>6.9999999999999999E-4</c:v>
                </c:pt>
                <c:pt idx="1">
                  <c:v>0</c:v>
                </c:pt>
                <c:pt idx="3">
                  <c:v>4.6399999999999997E-2</c:v>
                </c:pt>
                <c:pt idx="5">
                  <c:v>9.5500000000000002E-2</c:v>
                </c:pt>
                <c:pt idx="7">
                  <c:v>0.19070000000000001</c:v>
                </c:pt>
                <c:pt idx="8">
                  <c:v>0.38550000000000001</c:v>
                </c:pt>
                <c:pt idx="9">
                  <c:v>0.3866</c:v>
                </c:pt>
                <c:pt idx="10">
                  <c:v>0.5806</c:v>
                </c:pt>
                <c:pt idx="13">
                  <c:v>0.77510000000000001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B-42D6-8D56-930A4C2E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84416"/>
        <c:axId val="46690304"/>
      </c:scatterChart>
      <c:valAx>
        <c:axId val="4668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690304"/>
        <c:crosses val="autoZero"/>
        <c:crossBetween val="midCat"/>
      </c:valAx>
      <c:valAx>
        <c:axId val="4669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684416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9888874461264284E-2"/>
          <c:y val="8.9639636088959293E-2"/>
          <c:w val="0.86964304025587824"/>
          <c:h val="0.8219883149761375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9.8408786582032406E-2"/>
                  <c:y val="-4.8065964645985518E-2"/>
                </c:manualLayout>
              </c:layout>
              <c:numFmt formatCode="#,##0.000000" sourceLinked="0"/>
            </c:trendlineLbl>
          </c:trendline>
          <c:xVal>
            <c:numRef>
              <c:f>'RESULT(Conc)_DAY2'!$D$3:$D$16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26.59</c:v>
                </c:pt>
                <c:pt idx="3">
                  <c:v>26.59</c:v>
                </c:pt>
                <c:pt idx="4">
                  <c:v>53</c:v>
                </c:pt>
                <c:pt idx="5">
                  <c:v>53</c:v>
                </c:pt>
                <c:pt idx="6">
                  <c:v>106.08</c:v>
                </c:pt>
                <c:pt idx="7">
                  <c:v>106.08</c:v>
                </c:pt>
                <c:pt idx="8">
                  <c:v>212.8</c:v>
                </c:pt>
                <c:pt idx="9">
                  <c:v>212.8</c:v>
                </c:pt>
                <c:pt idx="10">
                  <c:v>319.43</c:v>
                </c:pt>
                <c:pt idx="11">
                  <c:v>319.43</c:v>
                </c:pt>
                <c:pt idx="12">
                  <c:v>427.25</c:v>
                </c:pt>
                <c:pt idx="13">
                  <c:v>427.25</c:v>
                </c:pt>
              </c:numCache>
            </c:numRef>
          </c:xVal>
          <c:yVal>
            <c:numRef>
              <c:f>'RESULT(Conc)_DAY2'!$E$3:$E$16</c:f>
              <c:numCache>
                <c:formatCode>General</c:formatCode>
                <c:ptCount val="14"/>
                <c:pt idx="0">
                  <c:v>-1E-4</c:v>
                </c:pt>
                <c:pt idx="1">
                  <c:v>-2.9999999999999997E-4</c:v>
                </c:pt>
                <c:pt idx="2">
                  <c:v>4.5900000000000003E-2</c:v>
                </c:pt>
                <c:pt idx="5">
                  <c:v>9.4700000000000006E-2</c:v>
                </c:pt>
                <c:pt idx="6">
                  <c:v>0.1918</c:v>
                </c:pt>
                <c:pt idx="7">
                  <c:v>0.19170000000000001</c:v>
                </c:pt>
                <c:pt idx="10">
                  <c:v>0.5806</c:v>
                </c:pt>
                <c:pt idx="12">
                  <c:v>0.77739999999999998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32-4120-A3D3-F9C5DA0D8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84416"/>
        <c:axId val="46690304"/>
      </c:scatterChart>
      <c:valAx>
        <c:axId val="4668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690304"/>
        <c:crosses val="autoZero"/>
        <c:crossBetween val="midCat"/>
      </c:valAx>
      <c:valAx>
        <c:axId val="4669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684416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472281</xdr:colOff>
      <xdr:row>0</xdr:row>
      <xdr:rowOff>194469</xdr:rowOff>
    </xdr:from>
    <xdr:to>
      <xdr:col>15</xdr:col>
      <xdr:colOff>127952</xdr:colOff>
      <xdr:row>15</xdr:row>
      <xdr:rowOff>146844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222250</xdr:colOff>
      <xdr:row>0</xdr:row>
      <xdr:rowOff>242094</xdr:rowOff>
    </xdr:from>
    <xdr:to>
      <xdr:col>17</xdr:col>
      <xdr:colOff>1068546</xdr:colOff>
      <xdr:row>15</xdr:row>
      <xdr:rowOff>194469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7C77EA-30DD-4120-BA49-466FF4642CE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ebbb27-eb1e-4e89-a2a4-24774a2d3b1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1"/>
  <sheetViews>
    <sheetView showGridLines="0" workbookViewId="0">
      <selection activeCell="A4" sqref="A4:G4"/>
    </sheetView>
  </sheetViews>
  <sheetFormatPr defaultRowHeight="17.600000000000001"/>
  <cols>
    <col min="1" max="1" width="20" style="110" customWidth="1"/>
    <col min="2" max="2" width="33.35546875" style="110" customWidth="1"/>
    <col min="3" max="3" width="55" style="110" customWidth="1"/>
    <col min="4" max="4" width="26" style="110" customWidth="1"/>
    <col min="5" max="6" width="16" style="110" customWidth="1"/>
  </cols>
  <sheetData>
    <row r="1" spans="1:6" ht="26.05" customHeight="1">
      <c r="A1" s="135" t="s">
        <v>95</v>
      </c>
      <c r="B1" s="115"/>
      <c r="C1" s="115"/>
      <c r="D1" s="115"/>
      <c r="E1" s="115"/>
      <c r="F1" s="115"/>
    </row>
    <row r="2" spans="1:6">
      <c r="A2" s="141" t="s">
        <v>96</v>
      </c>
      <c r="B2" s="115"/>
      <c r="C2" s="115"/>
      <c r="D2" s="115"/>
      <c r="E2" s="115"/>
      <c r="F2" s="115"/>
    </row>
    <row r="4" spans="1:6" ht="18">
      <c r="A4" s="139" t="s">
        <v>97</v>
      </c>
      <c r="B4" s="115"/>
      <c r="C4" s="115"/>
      <c r="D4" s="115"/>
      <c r="E4" s="115"/>
      <c r="F4" s="115"/>
    </row>
    <row r="5" spans="1:6" ht="22" customHeight="1">
      <c r="A5" s="136" t="s">
        <v>98</v>
      </c>
      <c r="B5" s="115"/>
      <c r="C5" s="115"/>
      <c r="D5" s="115"/>
      <c r="E5" s="115"/>
      <c r="F5" s="115"/>
    </row>
    <row r="6" spans="1:6" ht="22" customHeight="1">
      <c r="A6" s="136" t="s">
        <v>99</v>
      </c>
      <c r="B6" s="115"/>
      <c r="C6" s="115"/>
      <c r="D6" s="115"/>
      <c r="E6" s="115"/>
      <c r="F6" s="115"/>
    </row>
    <row r="7" spans="1:6" ht="22" customHeight="1">
      <c r="A7" s="136" t="s">
        <v>100</v>
      </c>
      <c r="B7" s="115"/>
      <c r="C7" s="115"/>
      <c r="D7" s="115"/>
      <c r="E7" s="115"/>
      <c r="F7" s="115"/>
    </row>
    <row r="8" spans="1:6" ht="22" customHeight="1">
      <c r="A8" s="136" t="s">
        <v>285</v>
      </c>
      <c r="B8" s="115"/>
      <c r="C8" s="115"/>
      <c r="D8" s="115"/>
      <c r="E8" s="115"/>
      <c r="F8" s="115"/>
    </row>
    <row r="10" spans="1:6" ht="18">
      <c r="A10" s="139" t="s">
        <v>101</v>
      </c>
      <c r="B10" s="115"/>
      <c r="C10" s="115"/>
      <c r="D10" s="115"/>
      <c r="E10" s="115"/>
      <c r="F10" s="115"/>
    </row>
    <row r="11" spans="1:6">
      <c r="A11" s="111" t="s">
        <v>102</v>
      </c>
      <c r="B11" s="111" t="s">
        <v>103</v>
      </c>
      <c r="C11" s="111" t="s">
        <v>104</v>
      </c>
      <c r="D11" s="111" t="s">
        <v>105</v>
      </c>
    </row>
    <row r="12" spans="1:6">
      <c r="A12" s="112" t="s">
        <v>106</v>
      </c>
      <c r="B12" s="112" t="s">
        <v>107</v>
      </c>
      <c r="C12" s="113" t="s">
        <v>108</v>
      </c>
      <c r="D12" s="112" t="s">
        <v>109</v>
      </c>
    </row>
    <row r="13" spans="1:6">
      <c r="A13" s="112" t="s">
        <v>110</v>
      </c>
      <c r="B13" s="112" t="s">
        <v>111</v>
      </c>
      <c r="C13" s="113" t="s">
        <v>112</v>
      </c>
      <c r="D13" s="112" t="s">
        <v>113</v>
      </c>
    </row>
    <row r="14" spans="1:6">
      <c r="A14" s="112" t="s">
        <v>114</v>
      </c>
      <c r="B14" s="112" t="s">
        <v>111</v>
      </c>
      <c r="C14" s="113" t="s">
        <v>115</v>
      </c>
      <c r="D14" s="112" t="s">
        <v>116</v>
      </c>
    </row>
    <row r="15" spans="1:6">
      <c r="A15" s="112" t="s">
        <v>117</v>
      </c>
      <c r="B15" s="112" t="s">
        <v>111</v>
      </c>
      <c r="C15" s="113" t="s">
        <v>112</v>
      </c>
      <c r="D15" s="112"/>
    </row>
    <row r="17" spans="1:6" ht="18">
      <c r="A17" s="139" t="s">
        <v>118</v>
      </c>
      <c r="B17" s="115"/>
      <c r="C17" s="115"/>
      <c r="D17" s="115"/>
      <c r="E17" s="115"/>
      <c r="F17" s="115"/>
    </row>
    <row r="18" spans="1:6" ht="20.05" customHeight="1">
      <c r="A18" s="136" t="s">
        <v>119</v>
      </c>
      <c r="B18" s="115"/>
      <c r="C18" s="115"/>
      <c r="D18" s="115"/>
      <c r="E18" s="115"/>
      <c r="F18" s="115"/>
    </row>
    <row r="19" spans="1:6" ht="20.05" customHeight="1">
      <c r="A19" s="136" t="s">
        <v>286</v>
      </c>
      <c r="B19" s="115"/>
      <c r="C19" s="115"/>
      <c r="D19" s="115"/>
      <c r="E19" s="115"/>
      <c r="F19" s="115"/>
    </row>
    <row r="20" spans="1:6" ht="20.05" customHeight="1">
      <c r="A20" s="136" t="s">
        <v>120</v>
      </c>
      <c r="B20" s="115"/>
      <c r="C20" s="115"/>
      <c r="D20" s="115"/>
      <c r="E20" s="115"/>
      <c r="F20" s="115"/>
    </row>
    <row r="21" spans="1:6" ht="20.05" customHeight="1">
      <c r="A21" s="136" t="s">
        <v>121</v>
      </c>
      <c r="B21" s="115"/>
      <c r="C21" s="115"/>
      <c r="D21" s="115"/>
      <c r="E21" s="115"/>
      <c r="F21" s="115"/>
    </row>
    <row r="22" spans="1:6" ht="20.05" customHeight="1">
      <c r="A22" s="136" t="s">
        <v>122</v>
      </c>
      <c r="B22" s="115"/>
      <c r="C22" s="115"/>
      <c r="D22" s="115"/>
      <c r="E22" s="115"/>
      <c r="F22" s="115"/>
    </row>
    <row r="23" spans="1:6" ht="20.05" customHeight="1">
      <c r="A23"/>
      <c r="B23"/>
      <c r="C23"/>
      <c r="D23"/>
      <c r="E23"/>
      <c r="F23"/>
    </row>
    <row r="24" spans="1:6" ht="20.05" customHeight="1">
      <c r="A24" s="191" t="s">
        <v>259</v>
      </c>
      <c r="B24" s="191"/>
      <c r="C24" s="191"/>
      <c r="D24" s="191"/>
      <c r="E24"/>
      <c r="F24"/>
    </row>
    <row r="25" spans="1:6" ht="20.05" customHeight="1">
      <c r="A25" s="187" t="s">
        <v>260</v>
      </c>
      <c r="B25"/>
      <c r="C25"/>
      <c r="D25"/>
      <c r="E25"/>
      <c r="F25"/>
    </row>
    <row r="26" spans="1:6" ht="20.05" customHeight="1">
      <c r="A26" s="187" t="s">
        <v>261</v>
      </c>
      <c r="B26"/>
      <c r="C26"/>
      <c r="D26"/>
      <c r="E26"/>
      <c r="F26"/>
    </row>
    <row r="27" spans="1:6" ht="20.05" customHeight="1">
      <c r="A27" s="187" t="s">
        <v>262</v>
      </c>
      <c r="B27"/>
      <c r="C27"/>
      <c r="D27"/>
      <c r="E27"/>
      <c r="F27"/>
    </row>
    <row r="28" spans="1:6" ht="20.05" customHeight="1">
      <c r="A28"/>
      <c r="B28"/>
      <c r="C28"/>
      <c r="D28"/>
      <c r="E28"/>
      <c r="F28"/>
    </row>
    <row r="29" spans="1:6" ht="20.05" customHeight="1">
      <c r="A29" s="192" t="s">
        <v>211</v>
      </c>
      <c r="B29" s="192" t="s">
        <v>147</v>
      </c>
      <c r="C29" s="192" t="s">
        <v>263</v>
      </c>
      <c r="D29"/>
      <c r="E29"/>
      <c r="F29"/>
    </row>
    <row r="30" spans="1:6" ht="20.05" customHeight="1">
      <c r="A30" s="195" t="s">
        <v>230</v>
      </c>
      <c r="B30" s="194" t="s">
        <v>218</v>
      </c>
      <c r="C30" s="194" t="s">
        <v>264</v>
      </c>
      <c r="D30"/>
      <c r="E30"/>
      <c r="F30"/>
    </row>
    <row r="31" spans="1:6" ht="20.05" customHeight="1">
      <c r="A31" s="193"/>
      <c r="B31" s="194" t="s">
        <v>219</v>
      </c>
      <c r="C31" s="194" t="s">
        <v>265</v>
      </c>
      <c r="D31"/>
      <c r="E31"/>
      <c r="F31"/>
    </row>
    <row r="32" spans="1:6" ht="20.05" customHeight="1">
      <c r="A32" s="193"/>
      <c r="B32" s="194" t="s">
        <v>220</v>
      </c>
      <c r="C32" s="194" t="s">
        <v>266</v>
      </c>
      <c r="D32"/>
      <c r="E32"/>
      <c r="F32"/>
    </row>
    <row r="33" spans="1:6" ht="20.05" customHeight="1">
      <c r="A33" s="193"/>
      <c r="B33" s="194" t="s">
        <v>221</v>
      </c>
      <c r="C33" s="194" t="s">
        <v>267</v>
      </c>
      <c r="D33"/>
      <c r="E33"/>
      <c r="F33"/>
    </row>
    <row r="34" spans="1:6" ht="20.05" customHeight="1">
      <c r="A34" s="193"/>
      <c r="B34" s="194" t="s">
        <v>222</v>
      </c>
      <c r="C34" s="194" t="s">
        <v>268</v>
      </c>
      <c r="D34"/>
      <c r="E34"/>
      <c r="F34"/>
    </row>
    <row r="35" spans="1:6" ht="20.05" customHeight="1">
      <c r="A35" s="193"/>
      <c r="B35" s="194" t="s">
        <v>223</v>
      </c>
      <c r="C35" s="194" t="s">
        <v>269</v>
      </c>
      <c r="D35"/>
      <c r="E35"/>
      <c r="F35"/>
    </row>
    <row r="36" spans="1:6" ht="20.05" customHeight="1">
      <c r="A36" s="196" t="s">
        <v>231</v>
      </c>
      <c r="B36" s="194" t="s">
        <v>224</v>
      </c>
      <c r="C36" s="194" t="s">
        <v>270</v>
      </c>
      <c r="D36"/>
      <c r="E36"/>
      <c r="F36"/>
    </row>
    <row r="37" spans="1:6" ht="20.05" customHeight="1">
      <c r="A37" s="193"/>
      <c r="B37" s="194" t="s">
        <v>225</v>
      </c>
      <c r="C37" s="194" t="s">
        <v>271</v>
      </c>
      <c r="D37"/>
      <c r="E37"/>
      <c r="F37"/>
    </row>
    <row r="38" spans="1:6" ht="20.05" customHeight="1">
      <c r="A38" s="193"/>
      <c r="B38" s="194" t="s">
        <v>226</v>
      </c>
      <c r="C38" s="194" t="s">
        <v>272</v>
      </c>
      <c r="D38"/>
      <c r="E38"/>
      <c r="F38"/>
    </row>
    <row r="39" spans="1:6" ht="20.05" customHeight="1">
      <c r="A39" s="193"/>
      <c r="B39" s="194" t="s">
        <v>227</v>
      </c>
      <c r="C39" s="194" t="s">
        <v>273</v>
      </c>
      <c r="D39"/>
      <c r="E39"/>
      <c r="F39"/>
    </row>
    <row r="40" spans="1:6" ht="20.05" customHeight="1">
      <c r="A40" s="197" t="s">
        <v>274</v>
      </c>
      <c r="B40" s="194" t="s">
        <v>228</v>
      </c>
      <c r="C40" s="194" t="s">
        <v>275</v>
      </c>
      <c r="D40"/>
      <c r="E40"/>
      <c r="F40"/>
    </row>
    <row r="41" spans="1:6" ht="20.05" customHeight="1">
      <c r="A41" s="193"/>
      <c r="B41" s="194" t="s">
        <v>229</v>
      </c>
      <c r="C41" s="194" t="s">
        <v>276</v>
      </c>
      <c r="D41"/>
      <c r="E41"/>
      <c r="F41"/>
    </row>
    <row r="42" spans="1:6" ht="20.05" customHeight="1">
      <c r="A42"/>
      <c r="B42"/>
      <c r="C42"/>
      <c r="D42"/>
      <c r="E42"/>
      <c r="F42"/>
    </row>
    <row r="43" spans="1:6" ht="20.05" customHeight="1">
      <c r="A43" s="187" t="s">
        <v>277</v>
      </c>
      <c r="B43"/>
      <c r="C43"/>
      <c r="D43"/>
      <c r="E43"/>
      <c r="F43"/>
    </row>
    <row r="44" spans="1:6" ht="20.05" customHeight="1">
      <c r="A44" s="187" t="s">
        <v>278</v>
      </c>
      <c r="B44"/>
      <c r="C44"/>
      <c r="D44"/>
      <c r="E44"/>
      <c r="F44"/>
    </row>
    <row r="45" spans="1:6" ht="20.05" customHeight="1">
      <c r="A45" s="187" t="s">
        <v>279</v>
      </c>
      <c r="B45"/>
      <c r="C45"/>
      <c r="D45"/>
      <c r="E45"/>
      <c r="F45"/>
    </row>
    <row r="46" spans="1:6" ht="20.05" customHeight="1">
      <c r="A46" s="187" t="s">
        <v>280</v>
      </c>
      <c r="B46"/>
      <c r="C46"/>
      <c r="D46"/>
      <c r="E46"/>
      <c r="F46"/>
    </row>
    <row r="47" spans="1:6" ht="20.05" customHeight="1">
      <c r="A47" s="187" t="s">
        <v>281</v>
      </c>
      <c r="B47"/>
      <c r="C47"/>
      <c r="D47"/>
      <c r="E47"/>
      <c r="F47"/>
    </row>
    <row r="48" spans="1:6" ht="20.05" customHeight="1">
      <c r="A48" s="166" t="s">
        <v>282</v>
      </c>
      <c r="B48"/>
      <c r="C48"/>
      <c r="D48"/>
      <c r="E48"/>
      <c r="F48"/>
    </row>
    <row r="49" spans="1:6" ht="20.05" customHeight="1">
      <c r="A49" s="198" t="s">
        <v>283</v>
      </c>
      <c r="B49"/>
      <c r="C49"/>
      <c r="D49"/>
      <c r="E49"/>
      <c r="F49"/>
    </row>
    <row r="50" spans="1:6" ht="20.05" customHeight="1">
      <c r="A50"/>
      <c r="B50"/>
      <c r="C50"/>
      <c r="D50"/>
      <c r="E50"/>
      <c r="F50"/>
    </row>
    <row r="52" spans="1:6" ht="18">
      <c r="A52" s="139" t="s">
        <v>284</v>
      </c>
      <c r="B52" s="115"/>
      <c r="C52" s="115"/>
      <c r="D52" s="115"/>
      <c r="E52" s="115"/>
      <c r="F52" s="115"/>
    </row>
    <row r="53" spans="1:6">
      <c r="A53" s="137" t="s">
        <v>123</v>
      </c>
      <c r="B53" s="115"/>
      <c r="C53" s="115"/>
      <c r="D53" s="115"/>
      <c r="E53" s="115"/>
      <c r="F53" s="115"/>
    </row>
    <row r="54" spans="1:6" ht="30" customHeight="1">
      <c r="A54" s="140" t="s">
        <v>124</v>
      </c>
      <c r="B54" s="115"/>
      <c r="C54" s="115"/>
      <c r="D54" s="115"/>
      <c r="E54" s="115"/>
      <c r="F54" s="115"/>
    </row>
    <row r="55" spans="1:6" ht="30" customHeight="1">
      <c r="A55" s="140" t="s">
        <v>125</v>
      </c>
      <c r="B55" s="115"/>
      <c r="C55" s="115"/>
      <c r="D55" s="115"/>
      <c r="E55" s="115"/>
      <c r="F55" s="115"/>
    </row>
    <row r="56" spans="1:6" ht="30" customHeight="1">
      <c r="A56" s="140" t="s">
        <v>126</v>
      </c>
      <c r="B56" s="115"/>
      <c r="C56" s="115"/>
      <c r="D56" s="115"/>
      <c r="E56" s="115"/>
      <c r="F56" s="115"/>
    </row>
    <row r="57" spans="1:6" ht="30" customHeight="1">
      <c r="A57" s="140" t="s">
        <v>127</v>
      </c>
      <c r="B57" s="115"/>
      <c r="C57" s="115"/>
      <c r="D57" s="115"/>
      <c r="E57" s="115"/>
      <c r="F57" s="115"/>
    </row>
    <row r="58" spans="1:6" ht="30" customHeight="1">
      <c r="A58" s="140" t="s">
        <v>128</v>
      </c>
      <c r="B58" s="115"/>
      <c r="C58" s="115"/>
      <c r="D58" s="115"/>
      <c r="E58" s="115"/>
      <c r="F58" s="115"/>
    </row>
    <row r="59" spans="1:6" ht="30" customHeight="1">
      <c r="A59" s="199" t="s">
        <v>287</v>
      </c>
    </row>
    <row r="61" spans="1:6" ht="30" customHeight="1">
      <c r="A61" s="138" t="s">
        <v>129</v>
      </c>
      <c r="B61" s="115"/>
      <c r="C61" s="115"/>
      <c r="D61" s="115"/>
      <c r="E61" s="115"/>
      <c r="F61" s="115"/>
    </row>
  </sheetData>
  <mergeCells count="23">
    <mergeCell ref="A55:F55"/>
    <mergeCell ref="A18:F18"/>
    <mergeCell ref="A54:F54"/>
    <mergeCell ref="A21:F21"/>
    <mergeCell ref="A2:F2"/>
    <mergeCell ref="A5:F5"/>
    <mergeCell ref="A24:D24"/>
    <mergeCell ref="A1:F1"/>
    <mergeCell ref="A6:F6"/>
    <mergeCell ref="A7:F7"/>
    <mergeCell ref="A53:F53"/>
    <mergeCell ref="A61:F61"/>
    <mergeCell ref="A8:F8"/>
    <mergeCell ref="A22:F22"/>
    <mergeCell ref="A17:F17"/>
    <mergeCell ref="A4:F4"/>
    <mergeCell ref="A20:F20"/>
    <mergeCell ref="A57:F57"/>
    <mergeCell ref="A10:F10"/>
    <mergeCell ref="A56:F56"/>
    <mergeCell ref="A19:F19"/>
    <mergeCell ref="A58:F58"/>
    <mergeCell ref="A52:F52"/>
  </mergeCells>
  <phoneticPr fontId="1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7"/>
  <sheetViews>
    <sheetView topLeftCell="A24" zoomScale="80" zoomScaleNormal="80" workbookViewId="0">
      <selection activeCell="J20" sqref="J20:L45"/>
    </sheetView>
  </sheetViews>
  <sheetFormatPr defaultRowHeight="17.600000000000001"/>
  <cols>
    <col min="1" max="1" width="16.7109375" style="110" customWidth="1"/>
    <col min="4" max="4" width="11.35546875" style="110" customWidth="1"/>
    <col min="7" max="7" width="16.640625" style="2" customWidth="1"/>
    <col min="8" max="8" width="14.5" style="1" customWidth="1"/>
    <col min="9" max="9" width="9.2109375" style="110" bestFit="1" customWidth="1"/>
    <col min="10" max="10" width="9.140625" style="110" customWidth="1"/>
    <col min="11" max="12" width="9.140625" style="110" bestFit="1" customWidth="1"/>
    <col min="13" max="13" width="11.5" style="13" bestFit="1" customWidth="1"/>
    <col min="14" max="14" width="11.5" style="61" bestFit="1" customWidth="1"/>
    <col min="15" max="15" width="12.5" style="13" bestFit="1" customWidth="1"/>
    <col min="16" max="16" width="9" style="13" customWidth="1"/>
    <col min="17" max="17" width="11.7109375" style="13" customWidth="1"/>
    <col min="18" max="18" width="15.35546875" style="110" customWidth="1"/>
    <col min="19" max="19" width="12.2109375" style="110" customWidth="1"/>
  </cols>
  <sheetData>
    <row r="1" spans="1:19" ht="20.25" customHeight="1">
      <c r="C1" s="145"/>
      <c r="D1" s="115"/>
      <c r="E1" s="146"/>
      <c r="F1" s="146"/>
    </row>
    <row r="2" spans="1:19">
      <c r="B2" s="12"/>
      <c r="D2" s="2" t="s">
        <v>0</v>
      </c>
      <c r="E2" s="2" t="s">
        <v>1</v>
      </c>
    </row>
    <row r="3" spans="1:19" ht="19.5" customHeight="1">
      <c r="A3" t="s">
        <v>2</v>
      </c>
      <c r="B3" t="s">
        <v>3</v>
      </c>
      <c r="D3" s="30">
        <v>0</v>
      </c>
      <c r="E3" s="30">
        <v>6.9999999999999999E-4</v>
      </c>
      <c r="F3" s="74">
        <f t="shared" ref="F3:F16" si="0">(E3+0.00135)/0.001819</f>
        <v>1.1269928532160529</v>
      </c>
      <c r="G3" s="74">
        <f t="shared" ref="G3:G16" si="1">(E3+0.000638)/0.001817</f>
        <v>0.73637864611997794</v>
      </c>
      <c r="H3" s="74">
        <f t="shared" ref="H3:H16" si="2">D3-G3</f>
        <v>-0.73637864611997794</v>
      </c>
      <c r="S3" s="8"/>
    </row>
    <row r="4" spans="1:19" ht="19.5" customHeight="1">
      <c r="A4" t="s">
        <v>4</v>
      </c>
      <c r="B4" t="s">
        <v>3</v>
      </c>
      <c r="D4" s="30">
        <v>0</v>
      </c>
      <c r="E4" s="30">
        <v>0</v>
      </c>
      <c r="F4" s="74">
        <f t="shared" si="0"/>
        <v>0.74216602528862008</v>
      </c>
      <c r="G4" s="74">
        <f t="shared" si="1"/>
        <v>0.35112823335167859</v>
      </c>
      <c r="H4" s="74">
        <f t="shared" si="2"/>
        <v>-0.35112823335167859</v>
      </c>
      <c r="N4" s="62"/>
      <c r="O4" s="59"/>
      <c r="S4" s="8"/>
    </row>
    <row r="5" spans="1:19" ht="19.5" customHeight="1">
      <c r="A5" t="s">
        <v>5</v>
      </c>
      <c r="B5" t="s">
        <v>3</v>
      </c>
      <c r="D5" s="30">
        <v>26.59</v>
      </c>
      <c r="E5" s="30"/>
      <c r="F5" s="56">
        <f t="shared" si="0"/>
        <v>0.74216602528862008</v>
      </c>
      <c r="G5" s="74">
        <f t="shared" si="1"/>
        <v>0.35112823335167859</v>
      </c>
      <c r="H5" s="74">
        <f t="shared" si="2"/>
        <v>26.23887176664832</v>
      </c>
      <c r="N5" s="62"/>
      <c r="O5" s="59"/>
      <c r="S5" s="8"/>
    </row>
    <row r="6" spans="1:19" ht="19.5" customHeight="1">
      <c r="A6" t="s">
        <v>6</v>
      </c>
      <c r="B6" t="s">
        <v>3</v>
      </c>
      <c r="D6" s="30">
        <v>26.59</v>
      </c>
      <c r="E6" s="30">
        <v>4.6399999999999997E-2</v>
      </c>
      <c r="F6" s="74">
        <f t="shared" si="0"/>
        <v>26.25068719076415</v>
      </c>
      <c r="G6" s="74">
        <f t="shared" si="1"/>
        <v>25.887727022564665</v>
      </c>
      <c r="H6" s="74">
        <f t="shared" si="2"/>
        <v>0.70227297743533512</v>
      </c>
      <c r="N6" s="62"/>
      <c r="O6" s="59"/>
      <c r="S6" s="8"/>
    </row>
    <row r="7" spans="1:19" ht="19.5" customHeight="1">
      <c r="A7" t="s">
        <v>7</v>
      </c>
      <c r="B7" t="s">
        <v>3</v>
      </c>
      <c r="D7" s="30">
        <v>53</v>
      </c>
      <c r="E7" s="30"/>
      <c r="F7" s="56">
        <f t="shared" si="0"/>
        <v>0.74216602528862008</v>
      </c>
      <c r="G7" s="74">
        <f t="shared" si="1"/>
        <v>0.35112823335167859</v>
      </c>
      <c r="H7" s="74">
        <f t="shared" si="2"/>
        <v>52.64887176664832</v>
      </c>
      <c r="N7" s="62"/>
      <c r="O7" s="59"/>
      <c r="S7" s="8"/>
    </row>
    <row r="8" spans="1:19" ht="19.5" customHeight="1">
      <c r="A8" t="s">
        <v>8</v>
      </c>
      <c r="B8" t="s">
        <v>3</v>
      </c>
      <c r="D8" s="30">
        <v>53</v>
      </c>
      <c r="E8" s="30">
        <v>9.5500000000000002E-2</v>
      </c>
      <c r="F8" s="74">
        <f t="shared" si="0"/>
        <v>53.243540406816933</v>
      </c>
      <c r="G8" s="74">
        <f t="shared" si="1"/>
        <v>52.910291689598239</v>
      </c>
      <c r="H8" s="74">
        <f t="shared" si="2"/>
        <v>8.9708310401761082E-2</v>
      </c>
      <c r="N8" s="62"/>
      <c r="O8" s="59"/>
      <c r="S8" s="8"/>
    </row>
    <row r="9" spans="1:19" ht="19.5" customHeight="1">
      <c r="A9" t="s">
        <v>9</v>
      </c>
      <c r="B9" t="s">
        <v>3</v>
      </c>
      <c r="D9" s="30">
        <v>106.08</v>
      </c>
      <c r="E9" s="30"/>
      <c r="F9" s="56">
        <f t="shared" si="0"/>
        <v>0.74216602528862008</v>
      </c>
      <c r="G9" s="74">
        <f t="shared" si="1"/>
        <v>0.35112823335167859</v>
      </c>
      <c r="H9" s="74">
        <f t="shared" si="2"/>
        <v>105.72887176664833</v>
      </c>
      <c r="N9" s="62"/>
      <c r="O9" s="59"/>
      <c r="S9" s="8"/>
    </row>
    <row r="10" spans="1:19" ht="19.5" customHeight="1">
      <c r="A10" t="s">
        <v>10</v>
      </c>
      <c r="B10" t="s">
        <v>3</v>
      </c>
      <c r="D10" s="30">
        <v>106.08</v>
      </c>
      <c r="E10" s="30">
        <v>0.19070000000000001</v>
      </c>
      <c r="F10" s="74">
        <f t="shared" si="0"/>
        <v>105.57998900494776</v>
      </c>
      <c r="G10" s="74">
        <f t="shared" si="1"/>
        <v>105.30434782608695</v>
      </c>
      <c r="H10" s="74">
        <f t="shared" si="2"/>
        <v>0.77565217391304486</v>
      </c>
      <c r="N10" s="62"/>
      <c r="O10" s="59"/>
      <c r="S10" s="8"/>
    </row>
    <row r="11" spans="1:19" ht="19.5" customHeight="1">
      <c r="A11" t="s">
        <v>11</v>
      </c>
      <c r="B11" t="s">
        <v>3</v>
      </c>
      <c r="D11" s="30">
        <v>212.8</v>
      </c>
      <c r="E11" s="30">
        <v>0.38550000000000001</v>
      </c>
      <c r="F11" s="74">
        <f t="shared" si="0"/>
        <v>212.67179769103905</v>
      </c>
      <c r="G11" s="74">
        <f t="shared" si="1"/>
        <v>212.51403412217942</v>
      </c>
      <c r="H11" s="74">
        <f t="shared" si="2"/>
        <v>0.28596587782058691</v>
      </c>
      <c r="N11" s="62"/>
      <c r="O11" s="59"/>
      <c r="S11" s="8"/>
    </row>
    <row r="12" spans="1:19" ht="19.5" customHeight="1">
      <c r="A12" t="s">
        <v>12</v>
      </c>
      <c r="B12" t="s">
        <v>3</v>
      </c>
      <c r="D12" s="30">
        <v>212.8</v>
      </c>
      <c r="E12" s="30">
        <v>0.3866</v>
      </c>
      <c r="F12" s="74">
        <f t="shared" si="0"/>
        <v>213.27652556349642</v>
      </c>
      <c r="G12" s="74">
        <f t="shared" si="1"/>
        <v>213.11942762795817</v>
      </c>
      <c r="H12" s="74">
        <f t="shared" si="2"/>
        <v>-0.31942762795816293</v>
      </c>
      <c r="N12" s="62"/>
      <c r="O12" s="59"/>
      <c r="S12" s="8"/>
    </row>
    <row r="13" spans="1:19" ht="19.5" customHeight="1">
      <c r="A13" t="s">
        <v>13</v>
      </c>
      <c r="B13" t="s">
        <v>3</v>
      </c>
      <c r="D13" s="30">
        <v>319.43</v>
      </c>
      <c r="E13" s="30">
        <v>0.5806</v>
      </c>
      <c r="F13" s="74">
        <f t="shared" si="0"/>
        <v>319.92853216052771</v>
      </c>
      <c r="G13" s="74">
        <f t="shared" si="1"/>
        <v>319.8888277380297</v>
      </c>
      <c r="H13" s="74">
        <f t="shared" si="2"/>
        <v>-0.45882773802969723</v>
      </c>
      <c r="N13" s="62"/>
      <c r="O13" s="59"/>
      <c r="S13" s="8"/>
    </row>
    <row r="14" spans="1:19" ht="19.5" customHeight="1">
      <c r="A14" t="s">
        <v>14</v>
      </c>
      <c r="B14" t="s">
        <v>3</v>
      </c>
      <c r="D14" s="30">
        <v>319.43</v>
      </c>
      <c r="E14" s="30"/>
      <c r="F14" s="56">
        <f t="shared" si="0"/>
        <v>0.74216602528862008</v>
      </c>
      <c r="G14" s="74">
        <f t="shared" si="1"/>
        <v>0.35112823335167859</v>
      </c>
      <c r="H14" s="74">
        <f t="shared" si="2"/>
        <v>319.07887176664832</v>
      </c>
      <c r="N14" s="62"/>
      <c r="O14" s="59"/>
      <c r="S14" s="8"/>
    </row>
    <row r="15" spans="1:19" ht="19.5" customHeight="1">
      <c r="A15" t="s">
        <v>15</v>
      </c>
      <c r="B15" t="s">
        <v>3</v>
      </c>
      <c r="D15" s="30">
        <v>427.25</v>
      </c>
      <c r="E15" s="30"/>
      <c r="F15" s="56">
        <f t="shared" si="0"/>
        <v>0.74216602528862008</v>
      </c>
      <c r="G15" s="74">
        <f t="shared" si="1"/>
        <v>0.35112823335167859</v>
      </c>
      <c r="H15" s="74">
        <f t="shared" si="2"/>
        <v>426.89887176664831</v>
      </c>
      <c r="N15" s="62"/>
      <c r="O15" s="59"/>
    </row>
    <row r="16" spans="1:19" ht="20.25" customHeight="1" thickBot="1">
      <c r="A16" t="s">
        <v>16</v>
      </c>
      <c r="B16" t="s">
        <v>3</v>
      </c>
      <c r="D16" s="31">
        <v>427.25</v>
      </c>
      <c r="E16" s="30">
        <v>0.77510000000000001</v>
      </c>
      <c r="F16" s="74">
        <f t="shared" si="0"/>
        <v>426.85541506322153</v>
      </c>
      <c r="G16" s="74">
        <f t="shared" si="1"/>
        <v>426.93340671436437</v>
      </c>
      <c r="H16" s="74">
        <f t="shared" si="2"/>
        <v>0.31659328563563349</v>
      </c>
    </row>
    <row r="17" spans="1:20" ht="17.5" customHeight="1">
      <c r="F17" s="56"/>
      <c r="G17" s="51"/>
      <c r="H17" s="52"/>
      <c r="I17" s="128" t="s">
        <v>17</v>
      </c>
      <c r="J17" s="115"/>
      <c r="K17" s="115"/>
      <c r="L17" s="115"/>
      <c r="M17" s="143" t="s">
        <v>130</v>
      </c>
      <c r="N17" s="144"/>
      <c r="O17" s="129"/>
      <c r="P17" s="129"/>
    </row>
    <row r="18" spans="1:20" ht="14.5" customHeight="1">
      <c r="G18" s="51"/>
      <c r="H18" s="52"/>
      <c r="I18" s="119"/>
      <c r="J18" s="119"/>
      <c r="K18" s="119"/>
      <c r="L18" s="119"/>
      <c r="M18" s="142" t="s">
        <v>19</v>
      </c>
      <c r="N18" s="119"/>
      <c r="O18" s="119"/>
      <c r="P18" s="119"/>
    </row>
    <row r="19" spans="1:20" ht="19.5" customHeight="1">
      <c r="A19" s="39" t="s">
        <v>131</v>
      </c>
      <c r="B19" s="34" t="s">
        <v>21</v>
      </c>
      <c r="C19" s="34"/>
      <c r="D19" s="34">
        <f t="shared" ref="D19:D50" si="3">(E19+0.000638)/0.001817</f>
        <v>154.45129334067147</v>
      </c>
      <c r="E19" s="33">
        <v>0.28000000000000003</v>
      </c>
      <c r="G19" s="3"/>
      <c r="H19" s="4"/>
      <c r="I19" s="5" t="s">
        <v>22</v>
      </c>
      <c r="J19" s="3" t="s">
        <v>23</v>
      </c>
      <c r="K19" s="6" t="s">
        <v>24</v>
      </c>
      <c r="L19" s="4" t="s">
        <v>25</v>
      </c>
      <c r="M19" s="57" t="s">
        <v>26</v>
      </c>
      <c r="N19" s="63" t="s">
        <v>27</v>
      </c>
      <c r="O19" s="60" t="s">
        <v>28</v>
      </c>
      <c r="P19" s="58" t="s">
        <v>29</v>
      </c>
      <c r="T19" s="15"/>
    </row>
    <row r="20" spans="1:20" ht="19.5" customHeight="1">
      <c r="A20" s="39" t="s">
        <v>132</v>
      </c>
      <c r="B20" s="34" t="s">
        <v>21</v>
      </c>
      <c r="C20" s="34"/>
      <c r="D20" s="34">
        <f t="shared" si="3"/>
        <v>154.45129334067147</v>
      </c>
      <c r="E20" s="30">
        <v>0.28000000000000003</v>
      </c>
      <c r="G20" s="25" t="s">
        <v>31</v>
      </c>
      <c r="H20" s="23" t="s">
        <v>133</v>
      </c>
      <c r="I20" s="27">
        <v>154.6</v>
      </c>
      <c r="J20" s="7">
        <f>D19</f>
        <v>154.45129334067147</v>
      </c>
      <c r="K20" s="8">
        <f>D20</f>
        <v>154.45129334067147</v>
      </c>
      <c r="L20" s="9">
        <f>D21</f>
        <v>155.66208035222897</v>
      </c>
      <c r="M20" s="21">
        <f>AVERAGE(J20:L20)</f>
        <v>154.85488901119064</v>
      </c>
      <c r="N20" s="64">
        <f>STDEV(J20:L20)</f>
        <v>0.69904820705402493</v>
      </c>
      <c r="O20" s="67">
        <f>N20/M20*100</f>
        <v>0.45142146400266897</v>
      </c>
      <c r="P20" s="70">
        <f>(M20-I20)/I20*100</f>
        <v>0.16486999430183807</v>
      </c>
      <c r="R20" s="13"/>
      <c r="T20" s="15"/>
    </row>
    <row r="21" spans="1:20" ht="20.25" customHeight="1" thickBot="1">
      <c r="A21" s="37" t="s">
        <v>134</v>
      </c>
      <c r="B21" s="35" t="s">
        <v>21</v>
      </c>
      <c r="C21" s="35"/>
      <c r="D21" s="34">
        <f t="shared" si="3"/>
        <v>155.66208035222897</v>
      </c>
      <c r="E21" s="30">
        <v>0.28220000000000001</v>
      </c>
      <c r="G21" s="26"/>
      <c r="H21" s="24"/>
      <c r="I21" s="28"/>
      <c r="J21" s="42"/>
      <c r="K21" s="10"/>
      <c r="L21" s="11"/>
      <c r="M21" s="22"/>
      <c r="N21" s="65"/>
      <c r="O21" s="68"/>
      <c r="P21" s="71"/>
      <c r="R21" s="13"/>
      <c r="T21" s="15"/>
    </row>
    <row r="22" spans="1:20">
      <c r="A22" s="38"/>
      <c r="B22" s="36"/>
      <c r="C22" s="36"/>
      <c r="D22" s="34">
        <f t="shared" si="3"/>
        <v>0.35112823335167859</v>
      </c>
      <c r="E22" s="1"/>
      <c r="G22" s="125" t="s">
        <v>34</v>
      </c>
      <c r="H22" s="23" t="s">
        <v>35</v>
      </c>
      <c r="I22" s="55">
        <v>169.55748014573379</v>
      </c>
      <c r="J22" s="48">
        <f>D25</f>
        <v>168.76059438635113</v>
      </c>
      <c r="K22" s="16">
        <f>D26</f>
        <v>171.01706108970831</v>
      </c>
      <c r="L22" s="14">
        <f>D27</f>
        <v>170.68684645019263</v>
      </c>
      <c r="M22" s="20">
        <f t="shared" ref="M22:M45" si="4">AVERAGE(J22:L22)</f>
        <v>170.15483397541735</v>
      </c>
      <c r="N22" s="66">
        <f t="shared" ref="N22:N45" si="5">STDEV(J22:L22)</f>
        <v>1.2186830805534663</v>
      </c>
      <c r="O22" s="69">
        <f t="shared" ref="O22:O45" si="6">N22/M22*100</f>
        <v>0.71622007561038914</v>
      </c>
      <c r="P22" s="72">
        <f t="shared" ref="P22:P45" si="7">(M22-I22)/I22*100</f>
        <v>0.35230166735795621</v>
      </c>
      <c r="R22" s="13"/>
    </row>
    <row r="23" spans="1:20">
      <c r="A23" s="39"/>
      <c r="B23" s="34"/>
      <c r="C23" s="34"/>
      <c r="D23" s="34">
        <f t="shared" si="3"/>
        <v>0.35112823335167859</v>
      </c>
      <c r="E23" s="1"/>
      <c r="G23" s="126"/>
      <c r="H23" s="24" t="s">
        <v>135</v>
      </c>
      <c r="I23" s="19">
        <v>196.2</v>
      </c>
      <c r="J23" s="42">
        <f>D28</f>
        <v>198.75509080902586</v>
      </c>
      <c r="K23" s="10">
        <f>D29</f>
        <v>198.75509080902586</v>
      </c>
      <c r="L23" s="11">
        <f>D30</f>
        <v>198.53494771601541</v>
      </c>
      <c r="M23" s="22">
        <f t="shared" si="4"/>
        <v>198.68170977802239</v>
      </c>
      <c r="N23" s="65">
        <f t="shared" si="5"/>
        <v>0.12709967400981972</v>
      </c>
      <c r="O23" s="68">
        <f t="shared" si="6"/>
        <v>6.3971502032986405E-2</v>
      </c>
      <c r="P23" s="71">
        <f t="shared" si="7"/>
        <v>1.2648877563824701</v>
      </c>
      <c r="R23" s="13"/>
      <c r="T23" s="15"/>
    </row>
    <row r="24" spans="1:20" ht="17.25" customHeight="1" thickBot="1">
      <c r="A24" s="37"/>
      <c r="B24" s="35"/>
      <c r="C24" s="35"/>
      <c r="D24" s="34">
        <f t="shared" si="3"/>
        <v>0.35112823335167859</v>
      </c>
      <c r="E24" s="1"/>
      <c r="G24" s="120" t="s">
        <v>36</v>
      </c>
      <c r="H24" s="75" t="s">
        <v>37</v>
      </c>
      <c r="I24" s="18"/>
      <c r="J24" s="48">
        <f>D31</f>
        <v>159.6796917996698</v>
      </c>
      <c r="K24" s="16">
        <f>D32</f>
        <v>160.17501375894332</v>
      </c>
      <c r="L24" s="14">
        <f>D33</f>
        <v>159.40451293340672</v>
      </c>
      <c r="M24" s="21">
        <f t="shared" si="4"/>
        <v>159.75307283067329</v>
      </c>
      <c r="N24" s="64">
        <f t="shared" si="5"/>
        <v>0.39045673553096322</v>
      </c>
      <c r="O24" s="67">
        <f t="shared" si="6"/>
        <v>0.24441266049687765</v>
      </c>
      <c r="P24" s="70" t="e">
        <f t="shared" si="7"/>
        <v>#DIV/0!</v>
      </c>
      <c r="R24" s="13"/>
      <c r="T24" s="15"/>
    </row>
    <row r="25" spans="1:20" ht="19.5" customHeight="1">
      <c r="A25" s="29" t="s">
        <v>38</v>
      </c>
      <c r="B25" s="36" t="s">
        <v>21</v>
      </c>
      <c r="C25" s="36"/>
      <c r="D25" s="34">
        <f t="shared" si="3"/>
        <v>168.76059438635113</v>
      </c>
      <c r="E25" s="30">
        <v>0.30599999999999999</v>
      </c>
      <c r="G25" s="121"/>
      <c r="H25" s="75" t="s">
        <v>39</v>
      </c>
      <c r="I25" s="18"/>
      <c r="J25" s="7">
        <f>D34</f>
        <v>159.78976334617502</v>
      </c>
      <c r="K25" s="8">
        <f>D35</f>
        <v>160.34012107870117</v>
      </c>
      <c r="L25" s="9">
        <f>D36</f>
        <v>160.0099064391855</v>
      </c>
      <c r="M25" s="21">
        <f t="shared" si="4"/>
        <v>160.04659695468723</v>
      </c>
      <c r="N25" s="64">
        <f t="shared" si="5"/>
        <v>0.2770073173828968</v>
      </c>
      <c r="O25" s="67">
        <f t="shared" si="6"/>
        <v>0.17307916735107073</v>
      </c>
      <c r="P25" s="70" t="e">
        <f t="shared" si="7"/>
        <v>#DIV/0!</v>
      </c>
      <c r="R25" s="13"/>
      <c r="T25" s="15"/>
    </row>
    <row r="26" spans="1:20" ht="19.5" customHeight="1">
      <c r="A26" s="29" t="s">
        <v>40</v>
      </c>
      <c r="B26" s="34" t="s">
        <v>21</v>
      </c>
      <c r="C26" s="34"/>
      <c r="D26" s="34">
        <f t="shared" si="3"/>
        <v>171.01706108970831</v>
      </c>
      <c r="E26" s="30">
        <v>0.31009999999999999</v>
      </c>
      <c r="G26" s="121"/>
      <c r="H26" s="75" t="s">
        <v>41</v>
      </c>
      <c r="I26" s="18"/>
      <c r="J26" s="7">
        <f>D37</f>
        <v>239.81177765547605</v>
      </c>
      <c r="K26" s="8">
        <f>D38</f>
        <v>240.85745734727573</v>
      </c>
      <c r="L26" s="9">
        <f>D39</f>
        <v>239.81177765547605</v>
      </c>
      <c r="M26" s="21">
        <f t="shared" si="4"/>
        <v>240.16033755274259</v>
      </c>
      <c r="N26" s="64">
        <f t="shared" si="5"/>
        <v>0.6037234515466684</v>
      </c>
      <c r="O26" s="67">
        <f t="shared" si="6"/>
        <v>0.25138349558410422</v>
      </c>
      <c r="P26" s="70" t="e">
        <f t="shared" si="7"/>
        <v>#DIV/0!</v>
      </c>
      <c r="R26" s="13"/>
      <c r="T26" s="15"/>
    </row>
    <row r="27" spans="1:20" ht="20.25" customHeight="1" thickBot="1">
      <c r="A27" s="29" t="s">
        <v>42</v>
      </c>
      <c r="B27" s="35" t="s">
        <v>21</v>
      </c>
      <c r="C27" s="35"/>
      <c r="D27" s="34">
        <f t="shared" si="3"/>
        <v>170.68684645019263</v>
      </c>
      <c r="E27" s="30">
        <v>0.3095</v>
      </c>
      <c r="G27" s="121"/>
      <c r="H27" s="75" t="s">
        <v>43</v>
      </c>
      <c r="I27" s="18"/>
      <c r="J27" s="7">
        <f>D40</f>
        <v>240.3070996147496</v>
      </c>
      <c r="K27" s="8">
        <f>D41</f>
        <v>239.70170610897085</v>
      </c>
      <c r="L27" s="9">
        <f>D42</f>
        <v>240.52724270776005</v>
      </c>
      <c r="M27" s="21">
        <f t="shared" si="4"/>
        <v>240.17868281049348</v>
      </c>
      <c r="N27" s="64">
        <f t="shared" si="5"/>
        <v>0.42748780765844302</v>
      </c>
      <c r="O27" s="67">
        <f t="shared" si="6"/>
        <v>0.17798740614950445</v>
      </c>
      <c r="P27" s="70" t="e">
        <f t="shared" si="7"/>
        <v>#DIV/0!</v>
      </c>
      <c r="R27" s="13"/>
      <c r="T27" s="15"/>
    </row>
    <row r="28" spans="1:20" ht="20.25" customHeight="1" thickBot="1">
      <c r="A28" s="29" t="s">
        <v>136</v>
      </c>
      <c r="B28" s="35" t="s">
        <v>21</v>
      </c>
      <c r="C28" s="54"/>
      <c r="D28" s="34">
        <f t="shared" si="3"/>
        <v>198.75509080902586</v>
      </c>
      <c r="E28" s="30">
        <v>0.36049999999999999</v>
      </c>
      <c r="G28" s="121"/>
      <c r="H28" s="75" t="s">
        <v>45</v>
      </c>
      <c r="I28" s="18"/>
      <c r="J28" s="7">
        <f>D43</f>
        <v>132.76719867914144</v>
      </c>
      <c r="K28" s="8">
        <f>D44</f>
        <v>132.49201981287837</v>
      </c>
      <c r="L28" s="9">
        <f>D45</f>
        <v>132.49201981287837</v>
      </c>
      <c r="M28" s="21">
        <f t="shared" si="4"/>
        <v>132.58374610163273</v>
      </c>
      <c r="N28" s="64">
        <f t="shared" si="5"/>
        <v>0.15887459251228289</v>
      </c>
      <c r="O28" s="67">
        <f t="shared" si="6"/>
        <v>0.1198296150046151</v>
      </c>
      <c r="P28" s="70" t="e">
        <f t="shared" si="7"/>
        <v>#DIV/0!</v>
      </c>
      <c r="R28" s="13"/>
      <c r="T28" s="15"/>
    </row>
    <row r="29" spans="1:20" ht="20.25" customHeight="1" thickBot="1">
      <c r="A29" s="29" t="s">
        <v>137</v>
      </c>
      <c r="B29" s="35" t="s">
        <v>21</v>
      </c>
      <c r="C29" s="54"/>
      <c r="D29" s="34">
        <f t="shared" si="3"/>
        <v>198.75509080902586</v>
      </c>
      <c r="E29" s="30">
        <v>0.36049999999999999</v>
      </c>
      <c r="G29" s="121"/>
      <c r="H29" s="75" t="s">
        <v>47</v>
      </c>
      <c r="I29" s="18"/>
      <c r="J29" s="7">
        <f>D46</f>
        <v>131.83159053384699</v>
      </c>
      <c r="K29" s="8">
        <f>D47</f>
        <v>132.32691249312055</v>
      </c>
      <c r="L29" s="9">
        <f>D48</f>
        <v>132.43698403962574</v>
      </c>
      <c r="M29" s="22">
        <f t="shared" si="4"/>
        <v>132.19849568886443</v>
      </c>
      <c r="N29" s="65">
        <f t="shared" si="5"/>
        <v>0.32248020237107133</v>
      </c>
      <c r="O29" s="68">
        <f t="shared" si="6"/>
        <v>0.24393636303550997</v>
      </c>
      <c r="P29" s="71" t="e">
        <f t="shared" si="7"/>
        <v>#DIV/0!</v>
      </c>
      <c r="R29" s="13"/>
      <c r="T29" s="15"/>
    </row>
    <row r="30" spans="1:20" ht="20.25" customHeight="1" thickBot="1">
      <c r="A30" s="29" t="s">
        <v>138</v>
      </c>
      <c r="B30" s="35" t="s">
        <v>21</v>
      </c>
      <c r="C30" s="54"/>
      <c r="D30" s="34">
        <f t="shared" si="3"/>
        <v>198.53494771601541</v>
      </c>
      <c r="E30" s="30">
        <v>0.36009999999999998</v>
      </c>
      <c r="G30" s="116" t="s">
        <v>49</v>
      </c>
      <c r="H30" s="23" t="s">
        <v>35</v>
      </c>
      <c r="I30" s="55">
        <v>49.006709047562687</v>
      </c>
      <c r="J30" s="48">
        <f>D49*1.09</f>
        <v>48.493902036323611</v>
      </c>
      <c r="K30" s="16">
        <f>D50*1.09</f>
        <v>48.733858007705017</v>
      </c>
      <c r="L30" s="14">
        <f>D51*1.09</f>
        <v>48.553891029168966</v>
      </c>
      <c r="M30" s="21">
        <f t="shared" si="4"/>
        <v>48.593883691065862</v>
      </c>
      <c r="N30" s="64">
        <f t="shared" si="5"/>
        <v>0.12487704674838457</v>
      </c>
      <c r="O30" s="67">
        <f t="shared" si="6"/>
        <v>0.25698099691369924</v>
      </c>
      <c r="P30" s="70">
        <f t="shared" si="7"/>
        <v>-0.84238538869476753</v>
      </c>
      <c r="R30" s="13"/>
      <c r="T30" s="15"/>
    </row>
    <row r="31" spans="1:20" ht="22.5" customHeight="1" thickBot="1">
      <c r="A31" s="29" t="s">
        <v>50</v>
      </c>
      <c r="B31" s="35" t="s">
        <v>21</v>
      </c>
      <c r="C31" s="36"/>
      <c r="D31" s="34">
        <f t="shared" si="3"/>
        <v>159.6796917996698</v>
      </c>
      <c r="E31" s="30">
        <v>0.28949999999999998</v>
      </c>
      <c r="G31" s="117"/>
      <c r="H31" s="24" t="s">
        <v>135</v>
      </c>
      <c r="I31" s="85">
        <v>58.3</v>
      </c>
      <c r="J31" s="42">
        <f>D52*1.09</f>
        <v>57.912173913043482</v>
      </c>
      <c r="K31" s="10">
        <f>D53*1.09</f>
        <v>57.55223995597138</v>
      </c>
      <c r="L31" s="11">
        <f>D54*1.09</f>
        <v>58.032151898734185</v>
      </c>
      <c r="M31" s="22">
        <f t="shared" si="4"/>
        <v>57.832188589249682</v>
      </c>
      <c r="N31" s="65">
        <f t="shared" si="5"/>
        <v>0.24975409349676631</v>
      </c>
      <c r="O31" s="68">
        <f t="shared" si="6"/>
        <v>0.43186000666624025</v>
      </c>
      <c r="P31" s="71">
        <f t="shared" si="7"/>
        <v>-0.8024209446832159</v>
      </c>
      <c r="R31" s="13"/>
      <c r="T31" s="15"/>
    </row>
    <row r="32" spans="1:20" ht="20.25" customHeight="1" thickBot="1">
      <c r="A32" s="29" t="s">
        <v>51</v>
      </c>
      <c r="B32" s="35" t="s">
        <v>21</v>
      </c>
      <c r="C32" s="34"/>
      <c r="D32" s="34">
        <f t="shared" si="3"/>
        <v>160.17501375894332</v>
      </c>
      <c r="E32" s="30">
        <v>0.29039999999999999</v>
      </c>
      <c r="G32" s="131" t="s">
        <v>52</v>
      </c>
      <c r="H32" s="23" t="s">
        <v>37</v>
      </c>
      <c r="I32" s="55"/>
      <c r="J32" s="48">
        <f>D55*1.09</f>
        <v>46.094342322509632</v>
      </c>
      <c r="K32" s="16">
        <f>D56*1.09</f>
        <v>46.214320308200328</v>
      </c>
      <c r="L32" s="14">
        <f>D57*1.09</f>
        <v>46.334298293891031</v>
      </c>
      <c r="M32" s="20">
        <f t="shared" si="4"/>
        <v>46.214320308200335</v>
      </c>
      <c r="N32" s="66">
        <f t="shared" si="5"/>
        <v>0.11997798569069928</v>
      </c>
      <c r="O32" s="69">
        <f t="shared" si="6"/>
        <v>0.25961213946364203</v>
      </c>
      <c r="P32" s="72" t="e">
        <f t="shared" si="7"/>
        <v>#DIV/0!</v>
      </c>
      <c r="R32" s="13"/>
      <c r="T32" s="15"/>
    </row>
    <row r="33" spans="1:20" ht="20.25" customHeight="1" thickBot="1">
      <c r="A33" s="29" t="s">
        <v>53</v>
      </c>
      <c r="B33" s="35" t="s">
        <v>21</v>
      </c>
      <c r="C33" s="35"/>
      <c r="D33" s="34">
        <f t="shared" si="3"/>
        <v>159.40451293340672</v>
      </c>
      <c r="E33" s="30">
        <v>0.28899999999999998</v>
      </c>
      <c r="G33" s="121"/>
      <c r="H33" s="75" t="s">
        <v>39</v>
      </c>
      <c r="I33" s="18"/>
      <c r="J33" s="8">
        <f>D58*1.09</f>
        <v>45.614430379746835</v>
      </c>
      <c r="K33" s="8">
        <f>D59*1.09</f>
        <v>45.854386351128234</v>
      </c>
      <c r="L33" s="9">
        <f>D60*1.09</f>
        <v>45.914375343973582</v>
      </c>
      <c r="M33" s="21">
        <f t="shared" si="4"/>
        <v>45.794397358282879</v>
      </c>
      <c r="N33" s="64">
        <f t="shared" si="5"/>
        <v>0.15871595647002748</v>
      </c>
      <c r="O33" s="67">
        <f t="shared" si="6"/>
        <v>0.34658378672019002</v>
      </c>
      <c r="P33" s="70" t="e">
        <f t="shared" si="7"/>
        <v>#DIV/0!</v>
      </c>
      <c r="R33" s="13"/>
      <c r="S33" s="8"/>
    </row>
    <row r="34" spans="1:20" ht="19.5" customHeight="1">
      <c r="A34" s="29" t="s">
        <v>54</v>
      </c>
      <c r="B34" s="36" t="s">
        <v>21</v>
      </c>
      <c r="C34" s="36"/>
      <c r="D34" s="34">
        <f t="shared" si="3"/>
        <v>159.78976334617502</v>
      </c>
      <c r="E34" s="30">
        <v>0.28970000000000001</v>
      </c>
      <c r="G34" s="121"/>
      <c r="H34" s="75" t="s">
        <v>41</v>
      </c>
      <c r="I34" s="18"/>
      <c r="J34" s="8">
        <f>D61*1.09</f>
        <v>57.07232801320859</v>
      </c>
      <c r="K34" s="8">
        <f>D62*1.09</f>
        <v>56.652405063291141</v>
      </c>
      <c r="L34" s="9">
        <f>D63*1.09</f>
        <v>56.292471106219047</v>
      </c>
      <c r="M34" s="21">
        <f t="shared" si="4"/>
        <v>56.672401394239593</v>
      </c>
      <c r="N34" s="64">
        <f t="shared" si="5"/>
        <v>0.39031280888970887</v>
      </c>
      <c r="O34" s="67">
        <f t="shared" si="6"/>
        <v>0.68871761084290639</v>
      </c>
      <c r="P34" s="70" t="e">
        <f t="shared" si="7"/>
        <v>#DIV/0!</v>
      </c>
      <c r="R34" s="13"/>
      <c r="T34" s="15"/>
    </row>
    <row r="35" spans="1:20" ht="19.5" customHeight="1">
      <c r="A35" s="29" t="s">
        <v>55</v>
      </c>
      <c r="B35" s="34" t="s">
        <v>21</v>
      </c>
      <c r="C35" s="34"/>
      <c r="D35" s="34">
        <f t="shared" si="3"/>
        <v>160.34012107870117</v>
      </c>
      <c r="E35" s="30">
        <v>0.29070000000000001</v>
      </c>
      <c r="G35" s="121"/>
      <c r="H35" s="75" t="s">
        <v>43</v>
      </c>
      <c r="I35" s="18"/>
      <c r="J35" s="8">
        <f>D64*1.09</f>
        <v>56.532427077600445</v>
      </c>
      <c r="K35" s="8">
        <f>D65*1.09</f>
        <v>56.892361034672547</v>
      </c>
      <c r="L35" s="9">
        <f>D66*1.09</f>
        <v>56.532427077600445</v>
      </c>
      <c r="M35" s="21">
        <f t="shared" si="4"/>
        <v>56.652405063291148</v>
      </c>
      <c r="N35" s="64">
        <f t="shared" si="5"/>
        <v>0.20780796700606494</v>
      </c>
      <c r="O35" s="67">
        <f t="shared" si="6"/>
        <v>0.36681225938052453</v>
      </c>
      <c r="P35" s="70" t="e">
        <f t="shared" si="7"/>
        <v>#DIV/0!</v>
      </c>
      <c r="R35" s="13"/>
      <c r="T35" s="15"/>
    </row>
    <row r="36" spans="1:20" ht="20.25" customHeight="1" thickBot="1">
      <c r="A36" s="29" t="s">
        <v>56</v>
      </c>
      <c r="B36" s="35" t="s">
        <v>21</v>
      </c>
      <c r="C36" s="35"/>
      <c r="D36" s="34">
        <f t="shared" si="3"/>
        <v>160.0099064391855</v>
      </c>
      <c r="E36" s="30">
        <v>0.29010000000000002</v>
      </c>
      <c r="G36" s="121"/>
      <c r="H36" s="75" t="s">
        <v>45</v>
      </c>
      <c r="I36" s="18"/>
      <c r="J36" s="8">
        <f>D67*1.09</f>
        <v>52.15323059988993</v>
      </c>
      <c r="K36" s="8">
        <f>D68*1.09</f>
        <v>52.393186571271329</v>
      </c>
      <c r="L36" s="9">
        <f>D69*1.09</f>
        <v>52.093241607044575</v>
      </c>
      <c r="M36" s="21">
        <f t="shared" si="4"/>
        <v>52.213219592735278</v>
      </c>
      <c r="N36" s="64">
        <f t="shared" si="5"/>
        <v>0.15871595647003017</v>
      </c>
      <c r="O36" s="67">
        <f t="shared" si="6"/>
        <v>0.30397657472191819</v>
      </c>
      <c r="P36" s="70" t="e">
        <f t="shared" si="7"/>
        <v>#DIV/0!</v>
      </c>
      <c r="R36" s="13"/>
      <c r="T36" s="15"/>
    </row>
    <row r="37" spans="1:20" ht="19.5" customHeight="1">
      <c r="A37" s="29" t="s">
        <v>57</v>
      </c>
      <c r="B37" s="36" t="s">
        <v>21</v>
      </c>
      <c r="C37" s="36"/>
      <c r="D37" s="34">
        <f t="shared" si="3"/>
        <v>239.81177765547605</v>
      </c>
      <c r="E37" s="30">
        <v>0.43509999999999999</v>
      </c>
      <c r="G37" s="121"/>
      <c r="H37" s="75" t="s">
        <v>47</v>
      </c>
      <c r="I37" s="18"/>
      <c r="J37" s="8">
        <f>D70*1.09</f>
        <v>52.63314254265272</v>
      </c>
      <c r="K37" s="8">
        <f>D71*1.09</f>
        <v>52.993076499724822</v>
      </c>
      <c r="L37" s="9">
        <f>D72*1.09</f>
        <v>52.573153549807373</v>
      </c>
      <c r="M37" s="21">
        <f t="shared" si="4"/>
        <v>52.733124197394972</v>
      </c>
      <c r="N37" s="64">
        <f t="shared" si="5"/>
        <v>0.22711466141707407</v>
      </c>
      <c r="O37" s="67">
        <f t="shared" si="6"/>
        <v>0.430686906709566</v>
      </c>
      <c r="P37" s="70" t="e">
        <f t="shared" si="7"/>
        <v>#DIV/0!</v>
      </c>
      <c r="R37" s="13"/>
      <c r="T37" s="15"/>
    </row>
    <row r="38" spans="1:20" ht="19.5" customHeight="1">
      <c r="A38" s="29" t="s">
        <v>58</v>
      </c>
      <c r="B38" s="34" t="s">
        <v>21</v>
      </c>
      <c r="C38" s="34"/>
      <c r="D38" s="34">
        <f t="shared" si="3"/>
        <v>240.85745734727573</v>
      </c>
      <c r="E38" s="30">
        <v>0.437</v>
      </c>
      <c r="G38" s="130" t="s">
        <v>59</v>
      </c>
      <c r="H38" s="23" t="s">
        <v>35</v>
      </c>
      <c r="I38" s="55">
        <v>120.5507710981711</v>
      </c>
      <c r="J38" s="48">
        <f t="shared" ref="J38:L45" si="8">J22-J30</f>
        <v>120.26669235002751</v>
      </c>
      <c r="K38" s="16">
        <f t="shared" si="8"/>
        <v>122.2832030820033</v>
      </c>
      <c r="L38" s="14">
        <f t="shared" si="8"/>
        <v>122.13295542102367</v>
      </c>
      <c r="M38" s="20">
        <f t="shared" si="4"/>
        <v>121.56095028435148</v>
      </c>
      <c r="N38" s="90">
        <f t="shared" si="5"/>
        <v>1.1233749553590262</v>
      </c>
      <c r="O38" s="69">
        <f t="shared" si="6"/>
        <v>0.92412485484134799</v>
      </c>
      <c r="P38" s="72">
        <f t="shared" si="7"/>
        <v>0.83796990842782437</v>
      </c>
      <c r="R38" s="13"/>
      <c r="T38" s="15"/>
    </row>
    <row r="39" spans="1:20" ht="20.25" customHeight="1" thickBot="1">
      <c r="A39" s="29" t="s">
        <v>60</v>
      </c>
      <c r="B39" s="35" t="s">
        <v>21</v>
      </c>
      <c r="C39" s="35"/>
      <c r="D39" s="34">
        <f t="shared" si="3"/>
        <v>239.81177765547605</v>
      </c>
      <c r="E39" s="30">
        <v>0.43509999999999999</v>
      </c>
      <c r="G39" s="117"/>
      <c r="H39" s="24" t="s">
        <v>135</v>
      </c>
      <c r="I39" s="85">
        <v>137.9</v>
      </c>
      <c r="J39" s="42">
        <f t="shared" si="8"/>
        <v>140.84291689598237</v>
      </c>
      <c r="K39" s="10">
        <f t="shared" si="8"/>
        <v>141.20285085305449</v>
      </c>
      <c r="L39" s="11">
        <f t="shared" si="8"/>
        <v>140.50279581728122</v>
      </c>
      <c r="M39" s="22">
        <f t="shared" si="4"/>
        <v>140.84952118877268</v>
      </c>
      <c r="N39" s="91">
        <f t="shared" si="5"/>
        <v>0.35007424325465675</v>
      </c>
      <c r="O39" s="68">
        <f t="shared" si="6"/>
        <v>0.2485448585838442</v>
      </c>
      <c r="P39" s="71">
        <f t="shared" si="7"/>
        <v>2.138884110785118</v>
      </c>
      <c r="R39" s="13"/>
      <c r="T39" s="15"/>
    </row>
    <row r="40" spans="1:20" ht="19.5" customHeight="1">
      <c r="A40" s="29" t="s">
        <v>61</v>
      </c>
      <c r="B40" s="36" t="s">
        <v>21</v>
      </c>
      <c r="C40" s="36"/>
      <c r="D40" s="34">
        <f t="shared" si="3"/>
        <v>240.3070996147496</v>
      </c>
      <c r="E40" s="30">
        <v>0.436</v>
      </c>
      <c r="G40" s="133" t="s">
        <v>62</v>
      </c>
      <c r="H40" s="75" t="s">
        <v>37</v>
      </c>
      <c r="I40" s="18"/>
      <c r="J40" s="48">
        <f t="shared" si="8"/>
        <v>113.58534947716016</v>
      </c>
      <c r="K40" s="16">
        <f t="shared" si="8"/>
        <v>113.96069345074299</v>
      </c>
      <c r="L40" s="14">
        <f t="shared" si="8"/>
        <v>113.07021463951568</v>
      </c>
      <c r="M40" s="20">
        <f t="shared" si="4"/>
        <v>113.53875252247296</v>
      </c>
      <c r="N40" s="66">
        <f t="shared" si="5"/>
        <v>0.44706440861557428</v>
      </c>
      <c r="O40" s="69">
        <f t="shared" si="6"/>
        <v>0.39375490630574433</v>
      </c>
      <c r="P40" s="72" t="e">
        <f t="shared" si="7"/>
        <v>#DIV/0!</v>
      </c>
      <c r="R40" s="13"/>
      <c r="T40" s="15"/>
    </row>
    <row r="41" spans="1:20" ht="19.5" customHeight="1">
      <c r="A41" s="29" t="s">
        <v>63</v>
      </c>
      <c r="B41" s="34" t="s">
        <v>21</v>
      </c>
      <c r="C41" s="34"/>
      <c r="D41" s="34">
        <f t="shared" si="3"/>
        <v>239.70170610897085</v>
      </c>
      <c r="E41" s="30">
        <v>0.43490000000000001</v>
      </c>
      <c r="G41" s="123"/>
      <c r="H41" s="75" t="s">
        <v>39</v>
      </c>
      <c r="I41" s="18"/>
      <c r="J41" s="7">
        <f t="shared" si="8"/>
        <v>114.17533296642819</v>
      </c>
      <c r="K41" s="8">
        <f t="shared" si="8"/>
        <v>114.48573472757295</v>
      </c>
      <c r="L41" s="9">
        <f t="shared" si="8"/>
        <v>114.09553109521192</v>
      </c>
      <c r="M41" s="21">
        <f t="shared" si="4"/>
        <v>114.25219959640435</v>
      </c>
      <c r="N41" s="64">
        <f t="shared" si="5"/>
        <v>0.20614576828024755</v>
      </c>
      <c r="O41" s="67">
        <f t="shared" si="6"/>
        <v>0.18043045911453523</v>
      </c>
      <c r="P41" s="70" t="e">
        <f t="shared" si="7"/>
        <v>#DIV/0!</v>
      </c>
      <c r="R41" s="13"/>
      <c r="T41" s="15"/>
    </row>
    <row r="42" spans="1:20" ht="20.25" customHeight="1" thickBot="1">
      <c r="A42" s="29" t="s">
        <v>64</v>
      </c>
      <c r="B42" s="35" t="s">
        <v>21</v>
      </c>
      <c r="C42" s="35"/>
      <c r="D42" s="34">
        <f t="shared" si="3"/>
        <v>240.52724270776005</v>
      </c>
      <c r="E42" s="30">
        <v>0.43640000000000001</v>
      </c>
      <c r="G42" s="123"/>
      <c r="H42" s="75" t="s">
        <v>41</v>
      </c>
      <c r="I42" s="45"/>
      <c r="J42" s="7">
        <f t="shared" si="8"/>
        <v>182.73944964226746</v>
      </c>
      <c r="K42" s="8">
        <f t="shared" si="8"/>
        <v>184.20505228398457</v>
      </c>
      <c r="L42" s="9">
        <f t="shared" si="8"/>
        <v>183.51930654925701</v>
      </c>
      <c r="M42" s="21">
        <f t="shared" si="4"/>
        <v>183.487936158503</v>
      </c>
      <c r="N42" s="64">
        <f t="shared" si="5"/>
        <v>0.73330474696001258</v>
      </c>
      <c r="O42" s="67">
        <f t="shared" si="6"/>
        <v>0.39964738953004486</v>
      </c>
      <c r="P42" s="70" t="e">
        <f t="shared" si="7"/>
        <v>#DIV/0!</v>
      </c>
      <c r="R42" s="13"/>
    </row>
    <row r="43" spans="1:20" ht="19.5" customHeight="1">
      <c r="A43" s="29" t="s">
        <v>65</v>
      </c>
      <c r="B43" s="36" t="s">
        <v>21</v>
      </c>
      <c r="C43" s="36"/>
      <c r="D43" s="34">
        <f t="shared" si="3"/>
        <v>132.76719867914144</v>
      </c>
      <c r="E43" s="30">
        <v>0.24060000000000001</v>
      </c>
      <c r="G43" s="123"/>
      <c r="H43" s="75" t="s">
        <v>43</v>
      </c>
      <c r="I43" s="46"/>
      <c r="J43" s="7">
        <f t="shared" si="8"/>
        <v>183.77467253714917</v>
      </c>
      <c r="K43" s="8">
        <f t="shared" si="8"/>
        <v>182.80934507429831</v>
      </c>
      <c r="L43" s="9">
        <f t="shared" si="8"/>
        <v>183.99481563015962</v>
      </c>
      <c r="M43" s="21">
        <f t="shared" si="4"/>
        <v>183.52627774720236</v>
      </c>
      <c r="N43" s="64">
        <f t="shared" si="5"/>
        <v>0.63056331042812175</v>
      </c>
      <c r="O43" s="67">
        <f t="shared" si="6"/>
        <v>0.34358202986968933</v>
      </c>
      <c r="P43" s="70" t="e">
        <f t="shared" si="7"/>
        <v>#DIV/0!</v>
      </c>
      <c r="R43" s="13"/>
      <c r="T43" s="15"/>
    </row>
    <row r="44" spans="1:20" ht="19.5" customHeight="1">
      <c r="A44" s="29" t="s">
        <v>66</v>
      </c>
      <c r="B44" s="34" t="s">
        <v>21</v>
      </c>
      <c r="C44" s="34"/>
      <c r="D44" s="34">
        <f t="shared" si="3"/>
        <v>132.49201981287837</v>
      </c>
      <c r="E44" s="30">
        <v>0.24010000000000001</v>
      </c>
      <c r="G44" s="123"/>
      <c r="H44" s="75" t="s">
        <v>45</v>
      </c>
      <c r="I44" s="45"/>
      <c r="J44" s="7">
        <f t="shared" si="8"/>
        <v>80.613968079251521</v>
      </c>
      <c r="K44" s="8">
        <f t="shared" si="8"/>
        <v>80.098833241607039</v>
      </c>
      <c r="L44" s="9">
        <f t="shared" si="8"/>
        <v>80.398778205833793</v>
      </c>
      <c r="M44" s="21">
        <f t="shared" si="4"/>
        <v>80.370526508897441</v>
      </c>
      <c r="N44" s="64">
        <f t="shared" si="5"/>
        <v>0.25872687147567175</v>
      </c>
      <c r="O44" s="67">
        <f t="shared" si="6"/>
        <v>0.3219176017803359</v>
      </c>
      <c r="P44" s="70" t="e">
        <f t="shared" si="7"/>
        <v>#DIV/0!</v>
      </c>
      <c r="R44" s="13"/>
      <c r="T44" s="15"/>
    </row>
    <row r="45" spans="1:20" ht="20.25" customHeight="1" thickBot="1">
      <c r="A45" s="29" t="s">
        <v>67</v>
      </c>
      <c r="B45" s="35" t="s">
        <v>21</v>
      </c>
      <c r="C45" s="35"/>
      <c r="D45" s="34">
        <f t="shared" si="3"/>
        <v>132.49201981287837</v>
      </c>
      <c r="E45" s="30">
        <v>0.24010000000000001</v>
      </c>
      <c r="G45" s="124"/>
      <c r="H45" s="24" t="s">
        <v>47</v>
      </c>
      <c r="I45" s="47"/>
      <c r="J45" s="42">
        <f t="shared" si="8"/>
        <v>79.198447991194271</v>
      </c>
      <c r="K45" s="10">
        <f t="shared" si="8"/>
        <v>79.333835993395724</v>
      </c>
      <c r="L45" s="11">
        <f t="shared" si="8"/>
        <v>79.863830489818369</v>
      </c>
      <c r="M45" s="22">
        <f t="shared" si="4"/>
        <v>79.465371491469455</v>
      </c>
      <c r="N45" s="65">
        <f t="shared" si="5"/>
        <v>0.35165275174373406</v>
      </c>
      <c r="O45" s="68">
        <f t="shared" si="6"/>
        <v>0.44252325905439666</v>
      </c>
      <c r="P45" s="71" t="e">
        <f t="shared" si="7"/>
        <v>#DIV/0!</v>
      </c>
      <c r="R45" s="13"/>
      <c r="T45" s="15"/>
    </row>
    <row r="46" spans="1:20" ht="19.5" customHeight="1">
      <c r="A46" s="29" t="s">
        <v>68</v>
      </c>
      <c r="B46" s="36" t="s">
        <v>21</v>
      </c>
      <c r="C46" s="36"/>
      <c r="D46" s="34">
        <f t="shared" si="3"/>
        <v>131.83159053384699</v>
      </c>
      <c r="E46" s="30">
        <v>0.2389</v>
      </c>
      <c r="H46" s="2"/>
      <c r="I46" s="2"/>
      <c r="J46" s="2"/>
      <c r="K46" s="2"/>
      <c r="L46" s="2"/>
      <c r="M46" s="44"/>
      <c r="O46" s="44"/>
      <c r="P46" s="44"/>
      <c r="Q46" s="44"/>
    </row>
    <row r="47" spans="1:20" ht="19.5" customHeight="1">
      <c r="A47" s="29" t="s">
        <v>69</v>
      </c>
      <c r="B47" s="34" t="s">
        <v>21</v>
      </c>
      <c r="C47" s="34"/>
      <c r="D47" s="34">
        <f t="shared" si="3"/>
        <v>132.32691249312055</v>
      </c>
      <c r="E47" s="30">
        <v>0.23980000000000001</v>
      </c>
      <c r="G47" s="44"/>
      <c r="H47" s="13"/>
      <c r="I47" s="43"/>
      <c r="J47" s="8"/>
      <c r="K47" s="8"/>
      <c r="L47" s="8"/>
      <c r="M47" s="17"/>
      <c r="N47" s="64"/>
      <c r="O47" s="67"/>
      <c r="P47" s="67"/>
      <c r="Q47" s="73"/>
    </row>
    <row r="48" spans="1:20" ht="20.25" customHeight="1" thickBot="1">
      <c r="A48" s="29" t="s">
        <v>70</v>
      </c>
      <c r="B48" s="35" t="s">
        <v>21</v>
      </c>
      <c r="C48" s="35"/>
      <c r="D48" s="34">
        <f t="shared" si="3"/>
        <v>132.43698403962574</v>
      </c>
      <c r="E48" s="30">
        <v>0.24</v>
      </c>
      <c r="G48" s="44"/>
      <c r="H48" s="13"/>
      <c r="I48" s="43"/>
      <c r="J48" s="8"/>
      <c r="K48" s="8"/>
      <c r="L48" s="8"/>
      <c r="M48" s="17"/>
      <c r="N48" s="64"/>
      <c r="O48" s="67"/>
      <c r="P48" s="67"/>
      <c r="Q48" s="73"/>
    </row>
    <row r="49" spans="1:18" ht="19.5" customHeight="1">
      <c r="A49" s="29" t="s">
        <v>71</v>
      </c>
      <c r="B49" s="36" t="s">
        <v>21</v>
      </c>
      <c r="C49" s="36"/>
      <c r="D49" s="34">
        <f t="shared" si="3"/>
        <v>44.489818381948261</v>
      </c>
      <c r="E49" s="33">
        <v>8.0199999999999994E-2</v>
      </c>
      <c r="G49" s="80"/>
      <c r="H49" s="80"/>
      <c r="I49" s="77"/>
      <c r="J49" s="77"/>
      <c r="K49" s="77"/>
      <c r="L49" s="77"/>
      <c r="M49" s="76"/>
      <c r="N49" s="76"/>
      <c r="O49" s="76"/>
      <c r="P49" s="76"/>
      <c r="Q49" s="76"/>
    </row>
    <row r="50" spans="1:18" ht="19.5" customHeight="1">
      <c r="A50" s="29" t="s">
        <v>72</v>
      </c>
      <c r="B50" s="34" t="s">
        <v>21</v>
      </c>
      <c r="C50" s="34"/>
      <c r="D50" s="34">
        <f t="shared" si="3"/>
        <v>44.709961474958725</v>
      </c>
      <c r="E50" s="33">
        <v>8.0600000000000005E-2</v>
      </c>
      <c r="G50" s="80"/>
      <c r="H50" s="80"/>
      <c r="I50" s="77"/>
      <c r="J50" s="77"/>
      <c r="K50" s="77"/>
      <c r="L50" s="77"/>
      <c r="M50" s="12"/>
      <c r="N50" s="12"/>
      <c r="O50" s="12"/>
      <c r="P50" s="12"/>
      <c r="Q50" s="12"/>
    </row>
    <row r="51" spans="1:18" ht="20.25" customHeight="1" thickBot="1">
      <c r="A51" s="29" t="s">
        <v>73</v>
      </c>
      <c r="B51" s="35" t="s">
        <v>21</v>
      </c>
      <c r="C51" s="35"/>
      <c r="D51" s="34">
        <f t="shared" ref="D51:D72" si="9">(E51+0.000638)/0.001817</f>
        <v>44.544854155200881</v>
      </c>
      <c r="E51" s="33">
        <v>8.0299999999999996E-2</v>
      </c>
      <c r="H51" s="2"/>
      <c r="I51" s="2"/>
      <c r="J51" s="2"/>
      <c r="K51" s="2"/>
      <c r="L51" s="2"/>
      <c r="M51" s="44"/>
      <c r="N51" s="78"/>
      <c r="O51" s="44"/>
      <c r="P51" s="44"/>
      <c r="Q51" s="44"/>
      <c r="R51" s="44"/>
    </row>
    <row r="52" spans="1:18" ht="20.25" customHeight="1" thickBot="1">
      <c r="A52" s="29" t="s">
        <v>139</v>
      </c>
      <c r="B52" s="35" t="s">
        <v>21</v>
      </c>
      <c r="C52" s="54"/>
      <c r="D52" s="34">
        <f t="shared" si="9"/>
        <v>53.130434782608695</v>
      </c>
      <c r="E52" s="33">
        <v>9.5899999999999999E-2</v>
      </c>
      <c r="G52" s="44"/>
      <c r="H52" s="13"/>
      <c r="I52" s="43"/>
      <c r="J52" s="64"/>
      <c r="K52" s="64"/>
      <c r="L52" s="64"/>
      <c r="M52" s="17"/>
      <c r="N52" s="64"/>
      <c r="O52" s="67"/>
      <c r="P52" s="67"/>
      <c r="Q52" s="67"/>
    </row>
    <row r="53" spans="1:18" ht="20.25" customHeight="1" thickBot="1">
      <c r="A53" s="29" t="s">
        <v>140</v>
      </c>
      <c r="B53" s="35" t="s">
        <v>21</v>
      </c>
      <c r="C53" s="54"/>
      <c r="D53" s="34">
        <f t="shared" si="9"/>
        <v>52.800220143093007</v>
      </c>
      <c r="E53" s="33">
        <v>9.5299999999999996E-2</v>
      </c>
      <c r="G53" s="44"/>
      <c r="H53" s="13"/>
      <c r="I53" s="43"/>
      <c r="J53" s="64"/>
      <c r="K53" s="64"/>
      <c r="L53" s="64"/>
      <c r="M53" s="17"/>
      <c r="N53" s="64"/>
      <c r="O53" s="67"/>
      <c r="P53" s="67"/>
      <c r="Q53" s="67"/>
    </row>
    <row r="54" spans="1:18" ht="20.25" customHeight="1" thickBot="1">
      <c r="A54" s="29" t="s">
        <v>141</v>
      </c>
      <c r="B54" s="35" t="s">
        <v>21</v>
      </c>
      <c r="C54" s="54"/>
      <c r="D54" s="34">
        <f t="shared" si="9"/>
        <v>53.240506329113927</v>
      </c>
      <c r="E54" s="33">
        <v>9.6100000000000005E-2</v>
      </c>
      <c r="G54" s="83"/>
      <c r="H54" s="13"/>
      <c r="I54" s="43"/>
      <c r="J54" s="64"/>
      <c r="K54" s="64"/>
      <c r="L54" s="64"/>
      <c r="M54" s="17"/>
      <c r="N54" s="64"/>
      <c r="O54" s="67"/>
      <c r="P54" s="67"/>
      <c r="Q54" s="67"/>
    </row>
    <row r="55" spans="1:18" ht="19.5" customHeight="1">
      <c r="A55" s="32" t="s">
        <v>77</v>
      </c>
      <c r="B55" s="36" t="s">
        <v>21</v>
      </c>
      <c r="C55" s="36"/>
      <c r="D55" s="34">
        <f t="shared" si="9"/>
        <v>42.288387451843697</v>
      </c>
      <c r="E55" s="33">
        <v>7.6200000000000004E-2</v>
      </c>
      <c r="G55" s="83"/>
      <c r="H55" s="13"/>
      <c r="I55" s="43"/>
      <c r="J55" s="64"/>
      <c r="K55" s="64"/>
      <c r="L55" s="64"/>
      <c r="M55" s="17"/>
      <c r="N55" s="64"/>
      <c r="O55" s="67"/>
      <c r="P55" s="67"/>
      <c r="Q55" s="67"/>
      <c r="R55" s="79"/>
    </row>
    <row r="56" spans="1:18" ht="19.5" customHeight="1">
      <c r="A56" s="32" t="s">
        <v>78</v>
      </c>
      <c r="B56" s="34" t="s">
        <v>21</v>
      </c>
      <c r="C56" s="34"/>
      <c r="D56" s="34">
        <f t="shared" si="9"/>
        <v>42.398458998348922</v>
      </c>
      <c r="E56" s="30">
        <v>7.6399999999999996E-2</v>
      </c>
      <c r="G56" s="83"/>
      <c r="H56" s="13"/>
      <c r="I56" s="43"/>
      <c r="J56" s="64"/>
      <c r="K56" s="64"/>
      <c r="L56" s="64"/>
      <c r="M56" s="17"/>
      <c r="N56" s="64"/>
      <c r="O56" s="67"/>
      <c r="P56" s="67"/>
      <c r="Q56" s="67"/>
    </row>
    <row r="57" spans="1:18" ht="20.25" customHeight="1" thickBot="1">
      <c r="A57" s="29" t="s">
        <v>79</v>
      </c>
      <c r="B57" s="35" t="s">
        <v>21</v>
      </c>
      <c r="C57" s="35"/>
      <c r="D57" s="34">
        <f t="shared" si="9"/>
        <v>42.508530544854153</v>
      </c>
      <c r="E57" s="30">
        <v>7.6600000000000001E-2</v>
      </c>
      <c r="G57" s="83"/>
      <c r="H57" s="13"/>
      <c r="I57" s="43"/>
      <c r="J57" s="64"/>
      <c r="K57" s="64"/>
      <c r="L57" s="64"/>
      <c r="M57" s="17"/>
      <c r="N57" s="64"/>
      <c r="O57" s="67"/>
      <c r="P57" s="67"/>
      <c r="Q57" s="67"/>
    </row>
    <row r="58" spans="1:18" ht="20.25" customHeight="1" thickBot="1">
      <c r="A58" s="32" t="s">
        <v>80</v>
      </c>
      <c r="B58" s="35" t="s">
        <v>21</v>
      </c>
      <c r="C58" s="36"/>
      <c r="D58" s="34">
        <f t="shared" si="9"/>
        <v>41.848101265822784</v>
      </c>
      <c r="E58" s="33">
        <v>7.5399999999999995E-2</v>
      </c>
      <c r="G58" s="83"/>
      <c r="H58" s="13"/>
      <c r="I58" s="43"/>
      <c r="J58" s="64"/>
      <c r="K58" s="64"/>
      <c r="L58" s="64"/>
      <c r="M58" s="17"/>
      <c r="N58" s="64"/>
      <c r="O58" s="67"/>
      <c r="P58" s="67"/>
      <c r="Q58" s="67"/>
    </row>
    <row r="59" spans="1:18" ht="20.25" customHeight="1" thickBot="1">
      <c r="A59" s="29" t="s">
        <v>81</v>
      </c>
      <c r="B59" s="35" t="s">
        <v>21</v>
      </c>
      <c r="C59" s="34"/>
      <c r="D59" s="34">
        <f t="shared" si="9"/>
        <v>42.06824435883324</v>
      </c>
      <c r="E59" s="30">
        <v>7.5800000000000006E-2</v>
      </c>
      <c r="G59" s="83"/>
      <c r="H59" s="40"/>
      <c r="I59" s="43"/>
      <c r="J59" s="64"/>
      <c r="K59" s="64"/>
      <c r="L59" s="64"/>
      <c r="M59" s="17"/>
      <c r="N59" s="64"/>
      <c r="O59" s="67"/>
      <c r="P59" s="67"/>
      <c r="Q59" s="67"/>
    </row>
    <row r="60" spans="1:18" ht="20.25" customHeight="1" thickBot="1">
      <c r="A60" s="29" t="s">
        <v>82</v>
      </c>
      <c r="B60" s="35" t="s">
        <v>21</v>
      </c>
      <c r="C60" s="35"/>
      <c r="D60" s="34">
        <f t="shared" si="9"/>
        <v>42.123280132085853</v>
      </c>
      <c r="E60" s="30">
        <v>7.5899999999999995E-2</v>
      </c>
      <c r="G60" s="83"/>
      <c r="H60" s="13"/>
      <c r="I60" s="43"/>
      <c r="J60" s="64"/>
      <c r="K60" s="64"/>
      <c r="L60" s="64"/>
      <c r="M60" s="17"/>
      <c r="N60" s="64"/>
      <c r="O60" s="67"/>
      <c r="P60" s="67"/>
      <c r="Q60" s="67"/>
    </row>
    <row r="61" spans="1:18" ht="19.5" customHeight="1">
      <c r="A61" s="29" t="s">
        <v>83</v>
      </c>
      <c r="B61" s="36" t="s">
        <v>21</v>
      </c>
      <c r="C61" s="36"/>
      <c r="D61" s="34">
        <f t="shared" si="9"/>
        <v>52.359933957072094</v>
      </c>
      <c r="E61" s="30">
        <v>9.4500000000000001E-2</v>
      </c>
      <c r="G61" s="83"/>
      <c r="H61" s="13"/>
      <c r="I61" s="43"/>
      <c r="J61" s="64"/>
      <c r="K61" s="64"/>
      <c r="L61" s="64"/>
      <c r="M61" s="17"/>
      <c r="N61" s="64"/>
      <c r="O61" s="67"/>
      <c r="P61" s="67"/>
      <c r="Q61" s="67"/>
    </row>
    <row r="62" spans="1:18" ht="14.5" customHeight="1">
      <c r="A62" s="29" t="s">
        <v>84</v>
      </c>
      <c r="B62" s="34" t="s">
        <v>21</v>
      </c>
      <c r="C62" s="34"/>
      <c r="D62" s="34">
        <f t="shared" si="9"/>
        <v>51.974683544303794</v>
      </c>
      <c r="E62" s="30">
        <v>9.3799999999999994E-2</v>
      </c>
      <c r="G62" s="84"/>
      <c r="H62" s="13"/>
      <c r="I62" s="43"/>
      <c r="J62" s="64"/>
      <c r="K62" s="64"/>
      <c r="L62" s="64"/>
      <c r="M62" s="17"/>
      <c r="N62" s="64"/>
      <c r="O62" s="67"/>
      <c r="P62" s="67"/>
      <c r="Q62" s="67"/>
    </row>
    <row r="63" spans="1:18" ht="20.25" customHeight="1" thickBot="1">
      <c r="A63" s="29" t="s">
        <v>85</v>
      </c>
      <c r="B63" s="35" t="s">
        <v>21</v>
      </c>
      <c r="C63" s="35"/>
      <c r="D63" s="34">
        <f t="shared" si="9"/>
        <v>51.644468904788113</v>
      </c>
      <c r="E63" s="30">
        <v>9.3200000000000005E-2</v>
      </c>
      <c r="G63" s="84"/>
      <c r="H63" s="13"/>
      <c r="I63" s="43"/>
      <c r="J63" s="64"/>
      <c r="K63" s="64"/>
      <c r="L63" s="64"/>
      <c r="M63" s="17"/>
      <c r="N63" s="64"/>
      <c r="O63" s="67"/>
      <c r="P63" s="67"/>
      <c r="Q63" s="67"/>
      <c r="R63" s="79"/>
    </row>
    <row r="64" spans="1:18" ht="19.5" customHeight="1">
      <c r="A64" s="29" t="s">
        <v>86</v>
      </c>
      <c r="B64" s="36" t="s">
        <v>21</v>
      </c>
      <c r="C64" s="36"/>
      <c r="D64" s="34">
        <f t="shared" si="9"/>
        <v>51.864611997798569</v>
      </c>
      <c r="E64" s="30">
        <v>9.3600000000000003E-2</v>
      </c>
      <c r="G64" s="81"/>
      <c r="H64" s="13"/>
      <c r="I64" s="43"/>
      <c r="J64" s="64"/>
      <c r="K64" s="64"/>
      <c r="L64" s="64"/>
      <c r="M64" s="17"/>
      <c r="N64" s="64"/>
      <c r="O64" s="67"/>
      <c r="P64" s="67"/>
      <c r="Q64" s="67"/>
    </row>
    <row r="65" spans="1:18" ht="14.5" customHeight="1">
      <c r="A65" s="29" t="s">
        <v>87</v>
      </c>
      <c r="B65" s="34" t="s">
        <v>21</v>
      </c>
      <c r="C65" s="34"/>
      <c r="D65" s="34">
        <f t="shared" si="9"/>
        <v>52.194826637314257</v>
      </c>
      <c r="E65" s="30">
        <v>9.4200000000000006E-2</v>
      </c>
      <c r="G65" s="81"/>
      <c r="H65" s="13"/>
      <c r="I65" s="43"/>
      <c r="J65" s="64"/>
      <c r="K65" s="64"/>
      <c r="L65" s="64"/>
      <c r="M65" s="17"/>
      <c r="N65" s="64"/>
      <c r="O65" s="67"/>
      <c r="P65" s="67"/>
      <c r="Q65" s="67"/>
    </row>
    <row r="66" spans="1:18" ht="20.25" customHeight="1" thickBot="1">
      <c r="A66" s="29" t="s">
        <v>88</v>
      </c>
      <c r="B66" s="35" t="s">
        <v>21</v>
      </c>
      <c r="C66" s="35"/>
      <c r="D66" s="34">
        <f t="shared" si="9"/>
        <v>51.864611997798569</v>
      </c>
      <c r="E66" s="30">
        <v>9.3600000000000003E-2</v>
      </c>
      <c r="G66" s="81"/>
      <c r="H66" s="13"/>
      <c r="I66" s="43"/>
      <c r="J66" s="64"/>
      <c r="K66" s="64"/>
      <c r="L66" s="64"/>
      <c r="M66" s="17"/>
      <c r="N66" s="64"/>
      <c r="O66" s="67"/>
      <c r="P66" s="67"/>
      <c r="Q66" s="67"/>
    </row>
    <row r="67" spans="1:18" ht="19.5" customHeight="1">
      <c r="A67" s="29" t="s">
        <v>89</v>
      </c>
      <c r="B67" s="36" t="s">
        <v>21</v>
      </c>
      <c r="C67" s="36"/>
      <c r="D67" s="34">
        <f t="shared" si="9"/>
        <v>47.847000550357734</v>
      </c>
      <c r="E67" s="30">
        <v>8.6300000000000002E-2</v>
      </c>
      <c r="G67" s="81"/>
      <c r="H67" s="13"/>
      <c r="I67" s="43"/>
      <c r="J67" s="64"/>
      <c r="K67" s="64"/>
      <c r="L67" s="64"/>
      <c r="M67" s="17"/>
      <c r="N67" s="64"/>
      <c r="O67" s="67"/>
      <c r="P67" s="67"/>
      <c r="Q67" s="67"/>
    </row>
    <row r="68" spans="1:18" ht="19.5" customHeight="1">
      <c r="A68" s="29" t="s">
        <v>90</v>
      </c>
      <c r="B68" s="34" t="s">
        <v>21</v>
      </c>
      <c r="C68" s="34"/>
      <c r="D68" s="34">
        <f t="shared" si="9"/>
        <v>48.06714364336819</v>
      </c>
      <c r="E68" s="30">
        <v>8.6699999999999999E-2</v>
      </c>
      <c r="G68" s="81"/>
      <c r="H68" s="13"/>
      <c r="I68" s="43"/>
      <c r="J68" s="64"/>
      <c r="K68" s="64"/>
      <c r="L68" s="64"/>
      <c r="M68" s="17"/>
      <c r="N68" s="64"/>
      <c r="O68" s="67"/>
      <c r="P68" s="67"/>
      <c r="Q68" s="67"/>
    </row>
    <row r="69" spans="1:18" ht="20.25" customHeight="1" thickBot="1">
      <c r="A69" s="29" t="s">
        <v>91</v>
      </c>
      <c r="B69" s="35" t="s">
        <v>21</v>
      </c>
      <c r="C69" s="35"/>
      <c r="D69" s="34">
        <f t="shared" si="9"/>
        <v>47.791964777105115</v>
      </c>
      <c r="E69" s="30">
        <v>8.6199999999999999E-2</v>
      </c>
      <c r="G69" s="81"/>
      <c r="H69" s="13"/>
      <c r="I69" s="43"/>
      <c r="J69" s="64"/>
      <c r="K69" s="64"/>
      <c r="L69" s="64"/>
      <c r="M69" s="17"/>
      <c r="N69" s="64"/>
      <c r="O69" s="67"/>
      <c r="P69" s="67"/>
      <c r="Q69" s="67"/>
    </row>
    <row r="70" spans="1:18" ht="19.5" customHeight="1">
      <c r="A70" s="29" t="s">
        <v>92</v>
      </c>
      <c r="B70" s="36" t="s">
        <v>21</v>
      </c>
      <c r="C70" s="36"/>
      <c r="D70" s="34">
        <f t="shared" si="9"/>
        <v>48.28728673637864</v>
      </c>
      <c r="E70" s="30">
        <v>8.7099999999999997E-2</v>
      </c>
      <c r="G70" s="82"/>
      <c r="H70" s="13"/>
      <c r="I70" s="43"/>
      <c r="J70" s="64"/>
      <c r="K70" s="64"/>
      <c r="L70" s="64"/>
      <c r="M70" s="17"/>
      <c r="N70" s="64"/>
      <c r="O70" s="67"/>
      <c r="P70" s="67"/>
      <c r="Q70" s="67"/>
    </row>
    <row r="71" spans="1:18" ht="19.5" customHeight="1">
      <c r="A71" s="29" t="s">
        <v>93</v>
      </c>
      <c r="B71" s="34" t="s">
        <v>21</v>
      </c>
      <c r="C71" s="34"/>
      <c r="D71" s="34">
        <f t="shared" si="9"/>
        <v>48.617501375894328</v>
      </c>
      <c r="E71" s="30">
        <v>8.77E-2</v>
      </c>
      <c r="G71" s="82"/>
      <c r="H71" s="13"/>
      <c r="I71" s="43"/>
      <c r="J71" s="64"/>
      <c r="K71" s="64"/>
      <c r="L71" s="64"/>
      <c r="M71" s="17"/>
      <c r="N71" s="64"/>
      <c r="O71" s="67"/>
      <c r="P71" s="67"/>
      <c r="Q71" s="67"/>
      <c r="R71" s="79"/>
    </row>
    <row r="72" spans="1:18" ht="20.25" customHeight="1" thickBot="1">
      <c r="A72" s="29" t="s">
        <v>94</v>
      </c>
      <c r="B72" s="35" t="s">
        <v>21</v>
      </c>
      <c r="C72" s="35"/>
      <c r="D72" s="34">
        <f t="shared" si="9"/>
        <v>48.232250963126027</v>
      </c>
      <c r="E72" s="30">
        <v>8.6999999999999994E-2</v>
      </c>
      <c r="G72" s="82"/>
      <c r="H72" s="13"/>
      <c r="I72" s="43"/>
      <c r="J72" s="64"/>
      <c r="K72" s="64"/>
      <c r="L72" s="64"/>
      <c r="M72" s="17"/>
      <c r="N72" s="64"/>
      <c r="O72" s="67"/>
      <c r="P72" s="67"/>
      <c r="Q72" s="67"/>
    </row>
    <row r="73" spans="1:18">
      <c r="A73" s="53"/>
      <c r="B73" s="36"/>
      <c r="C73" s="36"/>
      <c r="D73" s="36"/>
      <c r="G73" s="82"/>
      <c r="H73" s="13"/>
      <c r="I73" s="43"/>
      <c r="J73" s="64"/>
      <c r="K73" s="64"/>
      <c r="L73" s="64"/>
      <c r="M73" s="17"/>
      <c r="N73" s="64"/>
      <c r="O73" s="67"/>
      <c r="P73" s="67"/>
      <c r="Q73" s="67"/>
    </row>
    <row r="74" spans="1:18">
      <c r="A74" s="50"/>
      <c r="B74" s="34"/>
      <c r="C74" s="34"/>
      <c r="D74" s="34"/>
      <c r="G74" s="82"/>
      <c r="H74" s="13"/>
      <c r="I74" s="77"/>
      <c r="J74" s="64"/>
      <c r="K74" s="64"/>
      <c r="L74" s="64"/>
      <c r="M74" s="17"/>
      <c r="N74" s="64"/>
      <c r="O74" s="67"/>
      <c r="P74" s="67"/>
      <c r="Q74" s="67"/>
    </row>
    <row r="75" spans="1:18">
      <c r="A75" s="50"/>
      <c r="B75" s="34"/>
      <c r="C75" s="34"/>
      <c r="D75" s="34"/>
      <c r="G75" s="82"/>
      <c r="H75" s="13"/>
      <c r="I75" s="2"/>
      <c r="J75" s="64"/>
      <c r="K75" s="64"/>
      <c r="L75" s="64"/>
      <c r="M75" s="17"/>
      <c r="N75" s="64"/>
      <c r="O75" s="67"/>
      <c r="P75" s="67"/>
      <c r="Q75" s="67"/>
    </row>
    <row r="76" spans="1:18">
      <c r="A76" s="50"/>
      <c r="B76" s="34"/>
      <c r="C76" s="34"/>
      <c r="D76" s="34"/>
      <c r="G76" s="82"/>
      <c r="H76" s="13"/>
      <c r="I76" s="77"/>
      <c r="J76" s="64"/>
      <c r="K76" s="64"/>
      <c r="L76" s="64"/>
      <c r="M76" s="17"/>
      <c r="N76" s="64"/>
      <c r="O76" s="67"/>
      <c r="P76" s="67"/>
      <c r="Q76" s="67"/>
    </row>
    <row r="77" spans="1:18">
      <c r="A77" s="50"/>
      <c r="B77" s="34"/>
      <c r="C77" s="34"/>
      <c r="D77" s="34"/>
      <c r="G77" s="82"/>
      <c r="H77" s="13"/>
      <c r="I77" s="77"/>
      <c r="J77" s="64"/>
      <c r="K77" s="64"/>
      <c r="L77" s="64"/>
      <c r="M77" s="17"/>
      <c r="N77" s="64"/>
      <c r="O77" s="67"/>
      <c r="P77" s="67"/>
      <c r="Q77" s="67"/>
    </row>
    <row r="78" spans="1:18">
      <c r="A78" s="50"/>
      <c r="B78" s="34"/>
      <c r="C78" s="34"/>
      <c r="D78" s="34"/>
      <c r="G78" s="40"/>
      <c r="H78" s="41"/>
      <c r="I78" s="41"/>
      <c r="J78" s="41"/>
      <c r="K78" s="41"/>
      <c r="M78" s="17"/>
      <c r="N78" s="64"/>
      <c r="O78" s="67"/>
      <c r="P78" s="67"/>
    </row>
    <row r="79" spans="1:18">
      <c r="A79" s="40"/>
      <c r="B79" s="41"/>
      <c r="C79" s="41"/>
      <c r="D79" s="41"/>
      <c r="E79" s="49"/>
      <c r="G79" s="40"/>
      <c r="H79" s="41"/>
      <c r="I79" s="41"/>
      <c r="J79" s="41"/>
      <c r="K79" s="41"/>
    </row>
    <row r="80" spans="1:18">
      <c r="A80" s="40"/>
      <c r="B80" s="41"/>
      <c r="C80" s="41"/>
      <c r="D80" s="41"/>
      <c r="E80" s="41"/>
      <c r="G80" s="40"/>
      <c r="H80" s="41"/>
      <c r="I80" s="41"/>
      <c r="J80" s="41"/>
      <c r="K80" s="41"/>
    </row>
    <row r="81" spans="1:11">
      <c r="A81" s="40"/>
      <c r="B81" s="41"/>
      <c r="C81" s="41"/>
      <c r="D81" s="41"/>
      <c r="E81" s="41"/>
      <c r="G81" s="40"/>
      <c r="H81" s="41"/>
      <c r="I81" s="41"/>
      <c r="J81" s="41"/>
      <c r="K81" s="41"/>
    </row>
    <row r="82" spans="1:11">
      <c r="A82" s="40"/>
      <c r="B82" s="41"/>
      <c r="C82" s="41"/>
      <c r="D82" s="41"/>
      <c r="E82" s="41"/>
      <c r="G82" s="40"/>
      <c r="H82" s="41"/>
      <c r="I82" s="41"/>
      <c r="J82" s="41"/>
      <c r="K82" s="41"/>
    </row>
    <row r="83" spans="1:11">
      <c r="A83" s="40"/>
      <c r="B83" s="41"/>
      <c r="C83" s="41"/>
      <c r="D83" s="41"/>
      <c r="E83" s="41"/>
      <c r="G83" s="40"/>
      <c r="H83" s="41"/>
      <c r="I83" s="41"/>
      <c r="J83" s="41"/>
      <c r="K83" s="41"/>
    </row>
    <row r="84" spans="1:11">
      <c r="A84" s="40"/>
      <c r="B84" s="41"/>
      <c r="C84" s="41"/>
      <c r="D84" s="41"/>
      <c r="E84" s="41"/>
      <c r="G84" s="40"/>
      <c r="H84" s="41"/>
      <c r="I84" s="41"/>
      <c r="J84" s="41"/>
      <c r="K84" s="41"/>
    </row>
    <row r="85" spans="1:11">
      <c r="A85" s="40"/>
      <c r="B85" s="41"/>
      <c r="C85" s="41"/>
      <c r="D85" s="41"/>
      <c r="E85" s="41"/>
      <c r="G85" s="40"/>
      <c r="H85" s="41"/>
      <c r="I85" s="41"/>
      <c r="J85" s="41"/>
      <c r="K85" s="41"/>
    </row>
    <row r="86" spans="1:11">
      <c r="A86" s="40"/>
      <c r="B86" s="41"/>
      <c r="C86" s="41"/>
      <c r="D86" s="41"/>
      <c r="E86" s="41"/>
      <c r="G86" s="40"/>
      <c r="H86" s="41"/>
      <c r="I86" s="41"/>
      <c r="J86" s="41"/>
      <c r="K86" s="41"/>
    </row>
    <row r="87" spans="1:11">
      <c r="G87" s="40"/>
      <c r="H87" s="41"/>
      <c r="I87" s="41"/>
      <c r="J87" s="41"/>
      <c r="K87" s="41"/>
    </row>
    <row r="88" spans="1:11">
      <c r="G88" s="40"/>
      <c r="H88" s="41"/>
      <c r="I88" s="41"/>
      <c r="J88" s="41"/>
      <c r="K88" s="41"/>
    </row>
    <row r="89" spans="1:11">
      <c r="G89" s="40"/>
      <c r="H89" s="41"/>
      <c r="I89" s="41"/>
      <c r="J89" s="41"/>
      <c r="K89" s="41"/>
    </row>
    <row r="90" spans="1:11">
      <c r="G90" s="40"/>
      <c r="H90" s="41"/>
      <c r="I90" s="41"/>
      <c r="J90" s="41"/>
      <c r="K90" s="41"/>
    </row>
    <row r="91" spans="1:11">
      <c r="G91" s="40"/>
      <c r="H91" s="41"/>
      <c r="I91" s="41"/>
      <c r="J91" s="41"/>
      <c r="K91" s="41"/>
    </row>
    <row r="92" spans="1:11">
      <c r="G92" s="40"/>
      <c r="H92" s="41"/>
      <c r="I92" s="41"/>
      <c r="J92" s="41"/>
      <c r="K92" s="41"/>
    </row>
    <row r="93" spans="1:11">
      <c r="G93" s="40"/>
      <c r="H93" s="41"/>
      <c r="I93" s="41"/>
      <c r="J93" s="41"/>
      <c r="K93" s="41"/>
    </row>
    <row r="94" spans="1:11">
      <c r="G94" s="40"/>
      <c r="H94" s="41"/>
      <c r="I94" s="41"/>
      <c r="J94" s="41"/>
      <c r="K94" s="41"/>
    </row>
    <row r="95" spans="1:11">
      <c r="G95" s="40"/>
      <c r="H95" s="41"/>
      <c r="I95" s="41"/>
      <c r="J95" s="41"/>
      <c r="K95" s="41"/>
    </row>
    <row r="96" spans="1:11">
      <c r="G96" s="40"/>
      <c r="H96" s="41"/>
      <c r="I96" s="41"/>
      <c r="J96" s="41"/>
      <c r="K96" s="41"/>
    </row>
    <row r="97" spans="7:11">
      <c r="G97" s="40"/>
      <c r="H97" s="41"/>
      <c r="I97" s="41"/>
      <c r="J97" s="41"/>
      <c r="K97" s="41"/>
    </row>
    <row r="98" spans="7:11">
      <c r="G98" s="40"/>
      <c r="H98" s="41"/>
      <c r="I98" s="41"/>
      <c r="J98" s="41"/>
      <c r="K98" s="41"/>
    </row>
    <row r="99" spans="7:11">
      <c r="G99" s="40"/>
      <c r="H99" s="41"/>
      <c r="I99" s="41"/>
      <c r="J99" s="41"/>
      <c r="K99" s="41"/>
    </row>
    <row r="100" spans="7:11">
      <c r="G100" s="40"/>
      <c r="H100" s="41"/>
      <c r="I100" s="41"/>
      <c r="J100" s="41"/>
      <c r="K100" s="41"/>
    </row>
    <row r="101" spans="7:11">
      <c r="G101" s="40"/>
      <c r="H101" s="41"/>
      <c r="I101" s="41"/>
      <c r="J101" s="41"/>
      <c r="K101" s="41"/>
    </row>
    <row r="102" spans="7:11">
      <c r="G102" s="40"/>
      <c r="H102" s="41"/>
      <c r="I102" s="41"/>
      <c r="J102" s="41"/>
      <c r="K102" s="41"/>
    </row>
    <row r="103" spans="7:11">
      <c r="G103" s="40"/>
      <c r="H103" s="41"/>
      <c r="I103" s="41"/>
      <c r="J103" s="41"/>
      <c r="K103" s="41"/>
    </row>
    <row r="104" spans="7:11">
      <c r="G104" s="40"/>
      <c r="H104" s="41"/>
      <c r="I104" s="41"/>
      <c r="J104" s="41"/>
      <c r="K104" s="41"/>
    </row>
    <row r="105" spans="7:11">
      <c r="G105" s="40"/>
      <c r="H105" s="41"/>
      <c r="I105" s="41"/>
      <c r="J105" s="41"/>
      <c r="K105" s="41"/>
    </row>
    <row r="106" spans="7:11">
      <c r="G106" s="40"/>
      <c r="H106" s="41"/>
      <c r="I106" s="41"/>
      <c r="J106" s="41"/>
      <c r="K106" s="41"/>
    </row>
    <row r="107" spans="7:11">
      <c r="G107" s="40"/>
      <c r="H107" s="41"/>
      <c r="I107" s="41"/>
      <c r="J107" s="41"/>
      <c r="K107" s="41"/>
    </row>
    <row r="108" spans="7:11">
      <c r="G108" s="40"/>
      <c r="H108" s="41"/>
      <c r="I108" s="41"/>
      <c r="J108" s="41"/>
      <c r="K108" s="41"/>
    </row>
    <row r="109" spans="7:11">
      <c r="G109" s="40"/>
      <c r="H109" s="41"/>
      <c r="I109" s="41"/>
      <c r="J109" s="41"/>
      <c r="K109" s="41"/>
    </row>
    <row r="110" spans="7:11">
      <c r="G110" s="40"/>
      <c r="H110" s="41"/>
      <c r="I110" s="41"/>
      <c r="J110" s="41"/>
      <c r="K110" s="41"/>
    </row>
    <row r="111" spans="7:11">
      <c r="G111" s="40"/>
      <c r="H111" s="41"/>
      <c r="I111" s="41"/>
      <c r="J111" s="41"/>
      <c r="K111" s="41"/>
    </row>
    <row r="112" spans="7:11">
      <c r="G112" s="40"/>
      <c r="H112" s="41"/>
      <c r="I112" s="41"/>
      <c r="J112" s="41"/>
      <c r="K112" s="41"/>
    </row>
    <row r="113" spans="7:11">
      <c r="G113" s="40"/>
      <c r="H113" s="41"/>
      <c r="I113" s="41"/>
      <c r="J113" s="41"/>
      <c r="K113" s="41"/>
    </row>
    <row r="114" spans="7:11">
      <c r="G114" s="40"/>
      <c r="H114" s="41"/>
      <c r="I114" s="41"/>
      <c r="J114" s="41"/>
      <c r="K114" s="41"/>
    </row>
    <row r="115" spans="7:11">
      <c r="G115" s="40"/>
      <c r="H115" s="41"/>
      <c r="I115" s="41"/>
      <c r="J115" s="41"/>
      <c r="K115" s="41"/>
    </row>
    <row r="116" spans="7:11">
      <c r="G116" s="40"/>
      <c r="H116" s="41"/>
      <c r="I116" s="41"/>
      <c r="J116" s="41"/>
      <c r="K116" s="41"/>
    </row>
    <row r="117" spans="7:11">
      <c r="G117" s="40"/>
      <c r="H117" s="41"/>
      <c r="I117" s="41"/>
      <c r="J117" s="41"/>
      <c r="K117" s="41"/>
    </row>
  </sheetData>
  <mergeCells count="10">
    <mergeCell ref="C1:F1"/>
    <mergeCell ref="G24:G29"/>
    <mergeCell ref="G40:G45"/>
    <mergeCell ref="I17:L18"/>
    <mergeCell ref="G32:G37"/>
    <mergeCell ref="G38:G39"/>
    <mergeCell ref="M18:P18"/>
    <mergeCell ref="G22:G23"/>
    <mergeCell ref="G30:G31"/>
    <mergeCell ref="M17:P17"/>
  </mergeCells>
  <phoneticPr fontId="1" type="noConversion"/>
  <pageMargins left="0.7" right="0.7" top="0.75" bottom="0.75" header="0.3" footer="0.3"/>
  <pageSetup paperSize="9" scale="63" orientation="landscape"/>
  <rowBreaks count="1" manualBreakCount="1">
    <brk id="45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7"/>
  <sheetViews>
    <sheetView topLeftCell="A14" zoomScale="80" zoomScaleNormal="80" workbookViewId="0"/>
  </sheetViews>
  <sheetFormatPr defaultRowHeight="17.600000000000001"/>
  <cols>
    <col min="1" max="1" width="20.85546875" style="110" customWidth="1"/>
    <col min="4" max="4" width="11.35546875" style="110" customWidth="1"/>
    <col min="7" max="7" width="16.640625" style="2" customWidth="1"/>
    <col min="8" max="8" width="14.5" style="1" customWidth="1"/>
    <col min="9" max="9" width="9.2109375" style="110" bestFit="1" customWidth="1"/>
    <col min="10" max="10" width="9.140625" style="110" customWidth="1"/>
    <col min="11" max="12" width="9.140625" style="110" bestFit="1" customWidth="1"/>
    <col min="13" max="13" width="11.5" style="13" bestFit="1" customWidth="1"/>
    <col min="14" max="14" width="11.5" style="61" bestFit="1" customWidth="1"/>
    <col min="15" max="15" width="12.5" style="13" bestFit="1" customWidth="1"/>
    <col min="16" max="16" width="9" style="13" customWidth="1"/>
    <col min="17" max="17" width="22.2109375" style="13" customWidth="1"/>
    <col min="18" max="18" width="15.35546875" style="110" customWidth="1"/>
    <col min="19" max="19" width="12.2109375" style="110" customWidth="1"/>
  </cols>
  <sheetData>
    <row r="1" spans="1:19" ht="20.25" customHeight="1">
      <c r="C1" s="145"/>
      <c r="D1" s="115"/>
      <c r="E1" s="146"/>
      <c r="F1" s="146"/>
    </row>
    <row r="2" spans="1:19">
      <c r="B2" s="12"/>
      <c r="D2" s="2" t="s">
        <v>0</v>
      </c>
      <c r="E2" s="2" t="s">
        <v>1</v>
      </c>
    </row>
    <row r="3" spans="1:19" ht="19.5" customHeight="1">
      <c r="A3" t="s">
        <v>2</v>
      </c>
      <c r="B3" t="s">
        <v>3</v>
      </c>
      <c r="D3" s="30">
        <v>0</v>
      </c>
      <c r="E3" s="87">
        <v>-1E-4</v>
      </c>
      <c r="F3" s="74">
        <f t="shared" ref="F3:F16" si="0">(E3+0.001432)/0.001827</f>
        <v>0.72906403940886688</v>
      </c>
      <c r="G3" s="74">
        <f t="shared" ref="G3:G16" si="1">(E3+0.001084)/0.001825</f>
        <v>0.53917808219178076</v>
      </c>
      <c r="H3" s="74">
        <f t="shared" ref="H3:H16" si="2">D3-G3</f>
        <v>-0.53917808219178076</v>
      </c>
      <c r="I3" s="74">
        <f t="shared" ref="I3:I16" si="3">(E3+0.001037)/0.001823</f>
        <v>0.51398793198025228</v>
      </c>
      <c r="J3" s="89">
        <f t="shared" ref="J3:J16" si="4">D3-K3</f>
        <v>-0.63391877058177826</v>
      </c>
      <c r="K3" s="74">
        <f t="shared" ref="K3:K16" si="5">(E3+0.001255)/0.001822</f>
        <v>0.63391877058177826</v>
      </c>
      <c r="R3"/>
      <c r="S3" s="8"/>
    </row>
    <row r="4" spans="1:19" ht="19.5" customHeight="1">
      <c r="A4" t="s">
        <v>4</v>
      </c>
      <c r="B4" t="s">
        <v>3</v>
      </c>
      <c r="D4" s="30">
        <v>0</v>
      </c>
      <c r="E4" s="87">
        <v>-2.9999999999999997E-4</v>
      </c>
      <c r="F4" s="74">
        <f t="shared" si="0"/>
        <v>0.61959496442255058</v>
      </c>
      <c r="G4" s="74">
        <f t="shared" si="1"/>
        <v>0.42958904109589041</v>
      </c>
      <c r="H4" s="74">
        <f t="shared" si="2"/>
        <v>-0.42958904109589041</v>
      </c>
      <c r="I4" s="74">
        <f t="shared" si="3"/>
        <v>0.40427866154690073</v>
      </c>
      <c r="J4" s="89">
        <f t="shared" si="4"/>
        <v>-0.52414928649835346</v>
      </c>
      <c r="K4" s="74">
        <f t="shared" si="5"/>
        <v>0.52414928649835346</v>
      </c>
      <c r="N4" s="62"/>
      <c r="O4" s="59"/>
      <c r="R4"/>
      <c r="S4" s="8"/>
    </row>
    <row r="5" spans="1:19" ht="19.5" customHeight="1">
      <c r="A5" t="s">
        <v>5</v>
      </c>
      <c r="B5" t="s">
        <v>3</v>
      </c>
      <c r="D5" s="30">
        <v>26.59</v>
      </c>
      <c r="E5" s="87">
        <v>4.5900000000000003E-2</v>
      </c>
      <c r="F5" s="74">
        <f t="shared" si="0"/>
        <v>25.906951286261634</v>
      </c>
      <c r="G5" s="74">
        <f t="shared" si="1"/>
        <v>25.744657534246578</v>
      </c>
      <c r="H5" s="74">
        <f t="shared" si="2"/>
        <v>0.84534246575342209</v>
      </c>
      <c r="I5" s="74">
        <f t="shared" si="3"/>
        <v>25.74712013165113</v>
      </c>
      <c r="J5" s="89">
        <f t="shared" si="4"/>
        <v>0.70909989023051523</v>
      </c>
      <c r="K5" s="74">
        <f t="shared" si="5"/>
        <v>25.880900109769485</v>
      </c>
      <c r="N5" s="62"/>
      <c r="O5" s="59"/>
      <c r="R5"/>
      <c r="S5" s="8"/>
    </row>
    <row r="6" spans="1:19" ht="19.5" customHeight="1">
      <c r="A6" t="s">
        <v>6</v>
      </c>
      <c r="B6" t="s">
        <v>3</v>
      </c>
      <c r="D6" s="30">
        <v>26.59</v>
      </c>
      <c r="E6" s="87"/>
      <c r="F6" s="56">
        <f t="shared" si="0"/>
        <v>0.78379857690202515</v>
      </c>
      <c r="G6" s="74">
        <f t="shared" si="1"/>
        <v>0.59397260273972596</v>
      </c>
      <c r="H6" s="74">
        <f t="shared" si="2"/>
        <v>25.996027397260274</v>
      </c>
      <c r="I6" s="74">
        <f t="shared" si="3"/>
        <v>0.56884256719692816</v>
      </c>
      <c r="J6" s="89">
        <f t="shared" si="4"/>
        <v>25.901196487376509</v>
      </c>
      <c r="K6" s="74">
        <f t="shared" si="5"/>
        <v>0.68880351262349071</v>
      </c>
      <c r="N6" s="62"/>
      <c r="O6" s="59"/>
      <c r="R6"/>
      <c r="S6" s="8"/>
    </row>
    <row r="7" spans="1:19" ht="19.5" customHeight="1">
      <c r="A7" t="s">
        <v>7</v>
      </c>
      <c r="B7" t="s">
        <v>3</v>
      </c>
      <c r="D7" s="30">
        <v>53</v>
      </c>
      <c r="E7" s="87"/>
      <c r="F7" s="56">
        <f t="shared" si="0"/>
        <v>0.78379857690202515</v>
      </c>
      <c r="G7" s="74">
        <f t="shared" si="1"/>
        <v>0.59397260273972596</v>
      </c>
      <c r="H7" s="74">
        <f t="shared" si="2"/>
        <v>52.406027397260274</v>
      </c>
      <c r="I7" s="74">
        <f t="shared" si="3"/>
        <v>0.56884256719692816</v>
      </c>
      <c r="J7" s="89">
        <f t="shared" si="4"/>
        <v>52.311196487376506</v>
      </c>
      <c r="K7" s="74">
        <f t="shared" si="5"/>
        <v>0.68880351262349071</v>
      </c>
      <c r="N7" s="62"/>
      <c r="O7" s="59"/>
      <c r="R7"/>
      <c r="S7" s="8"/>
    </row>
    <row r="8" spans="1:19" ht="19.5" customHeight="1">
      <c r="A8" t="s">
        <v>8</v>
      </c>
      <c r="B8" t="s">
        <v>3</v>
      </c>
      <c r="D8" s="30">
        <v>53</v>
      </c>
      <c r="E8" s="87">
        <v>9.4700000000000006E-2</v>
      </c>
      <c r="F8" s="74">
        <f t="shared" si="0"/>
        <v>52.617405582922828</v>
      </c>
      <c r="G8" s="74">
        <f t="shared" si="1"/>
        <v>52.484383561643838</v>
      </c>
      <c r="H8" s="74">
        <f t="shared" si="2"/>
        <v>0.51561643835616167</v>
      </c>
      <c r="I8" s="74">
        <f t="shared" si="3"/>
        <v>52.516182117388922</v>
      </c>
      <c r="J8" s="89">
        <f t="shared" si="4"/>
        <v>0.33534577387485598</v>
      </c>
      <c r="K8" s="74">
        <f t="shared" si="5"/>
        <v>52.664654226125144</v>
      </c>
      <c r="N8" s="62"/>
      <c r="O8" s="59"/>
      <c r="R8"/>
      <c r="S8" s="8"/>
    </row>
    <row r="9" spans="1:19" ht="19.5" customHeight="1">
      <c r="A9" t="s">
        <v>9</v>
      </c>
      <c r="B9" t="s">
        <v>3</v>
      </c>
      <c r="D9" s="30">
        <v>106.08</v>
      </c>
      <c r="E9" s="87">
        <v>0.1918</v>
      </c>
      <c r="F9" s="74">
        <f t="shared" si="0"/>
        <v>105.7646414887794</v>
      </c>
      <c r="G9" s="74">
        <f t="shared" si="1"/>
        <v>105.68986301369863</v>
      </c>
      <c r="H9" s="74">
        <f t="shared" si="2"/>
        <v>0.39013698630137128</v>
      </c>
      <c r="I9" s="74">
        <f t="shared" si="3"/>
        <v>105.78003291278114</v>
      </c>
      <c r="J9" s="89">
        <f t="shared" si="4"/>
        <v>0.12226125137212307</v>
      </c>
      <c r="K9" s="74">
        <f t="shared" si="5"/>
        <v>105.95773874862788</v>
      </c>
      <c r="N9" s="62"/>
      <c r="O9" s="59"/>
      <c r="R9"/>
      <c r="S9" s="8"/>
    </row>
    <row r="10" spans="1:19" ht="19.5" customHeight="1">
      <c r="A10" t="s">
        <v>10</v>
      </c>
      <c r="B10" t="s">
        <v>3</v>
      </c>
      <c r="D10" s="30">
        <v>106.08</v>
      </c>
      <c r="E10" s="87">
        <v>0.19170000000000001</v>
      </c>
      <c r="F10" s="74">
        <f t="shared" si="0"/>
        <v>105.70990695128626</v>
      </c>
      <c r="G10" s="74">
        <f t="shared" si="1"/>
        <v>105.63506849315068</v>
      </c>
      <c r="H10" s="74">
        <f t="shared" si="2"/>
        <v>0.44493150684931493</v>
      </c>
      <c r="I10" s="74">
        <f t="shared" si="3"/>
        <v>105.72517827756447</v>
      </c>
      <c r="J10" s="89">
        <f t="shared" si="4"/>
        <v>0.17714599341383064</v>
      </c>
      <c r="K10" s="74">
        <f t="shared" si="5"/>
        <v>105.90285400658617</v>
      </c>
      <c r="N10" s="62"/>
      <c r="O10" s="59"/>
      <c r="R10"/>
      <c r="S10" s="8"/>
    </row>
    <row r="11" spans="1:19" ht="19.5" customHeight="1">
      <c r="A11" t="s">
        <v>11</v>
      </c>
      <c r="B11" t="s">
        <v>3</v>
      </c>
      <c r="D11" s="30">
        <v>212.8</v>
      </c>
      <c r="E11" s="87"/>
      <c r="F11" s="56">
        <f t="shared" si="0"/>
        <v>0.78379857690202515</v>
      </c>
      <c r="G11" s="74">
        <f t="shared" si="1"/>
        <v>0.59397260273972596</v>
      </c>
      <c r="H11" s="74">
        <f t="shared" si="2"/>
        <v>212.20602739726027</v>
      </c>
      <c r="I11" s="74">
        <f t="shared" si="3"/>
        <v>0.56884256719692816</v>
      </c>
      <c r="J11" s="89">
        <f t="shared" si="4"/>
        <v>212.11119648737653</v>
      </c>
      <c r="K11" s="74">
        <f t="shared" si="5"/>
        <v>0.68880351262349071</v>
      </c>
      <c r="N11" s="62"/>
      <c r="O11" s="59"/>
      <c r="R11"/>
      <c r="S11" s="8"/>
    </row>
    <row r="12" spans="1:19" ht="19.5" customHeight="1">
      <c r="A12" t="s">
        <v>12</v>
      </c>
      <c r="B12" t="s">
        <v>3</v>
      </c>
      <c r="D12" s="30">
        <v>212.8</v>
      </c>
      <c r="E12" s="87"/>
      <c r="F12" s="56">
        <f t="shared" si="0"/>
        <v>0.78379857690202515</v>
      </c>
      <c r="G12" s="74">
        <f t="shared" si="1"/>
        <v>0.59397260273972596</v>
      </c>
      <c r="H12" s="74">
        <f t="shared" si="2"/>
        <v>212.20602739726027</v>
      </c>
      <c r="I12" s="74">
        <f t="shared" si="3"/>
        <v>0.56884256719692816</v>
      </c>
      <c r="J12" s="89">
        <f t="shared" si="4"/>
        <v>212.11119648737653</v>
      </c>
      <c r="K12" s="74">
        <f t="shared" si="5"/>
        <v>0.68880351262349071</v>
      </c>
      <c r="N12" s="62"/>
      <c r="O12" s="59"/>
      <c r="R12"/>
      <c r="S12" s="8"/>
    </row>
    <row r="13" spans="1:19" ht="19.5" customHeight="1">
      <c r="A13" t="s">
        <v>13</v>
      </c>
      <c r="B13" t="s">
        <v>3</v>
      </c>
      <c r="D13" s="30">
        <v>319.43</v>
      </c>
      <c r="E13" s="87">
        <v>0.5806</v>
      </c>
      <c r="F13" s="74">
        <f t="shared" si="0"/>
        <v>318.57252326217844</v>
      </c>
      <c r="G13" s="74">
        <f t="shared" si="1"/>
        <v>318.73095890410957</v>
      </c>
      <c r="H13" s="74">
        <f t="shared" si="2"/>
        <v>0.69904109589043628</v>
      </c>
      <c r="I13" s="74">
        <f t="shared" si="3"/>
        <v>319.05485463521666</v>
      </c>
      <c r="J13" s="89">
        <f t="shared" si="4"/>
        <v>8.0384193194277032E-2</v>
      </c>
      <c r="K13" s="74">
        <f t="shared" si="5"/>
        <v>319.34961580680573</v>
      </c>
      <c r="N13" s="62"/>
      <c r="O13" s="59"/>
      <c r="R13"/>
      <c r="S13" s="8"/>
    </row>
    <row r="14" spans="1:19" ht="19.5" customHeight="1">
      <c r="A14" t="s">
        <v>14</v>
      </c>
      <c r="B14" t="s">
        <v>3</v>
      </c>
      <c r="D14" s="30">
        <v>319.43</v>
      </c>
      <c r="E14" s="87"/>
      <c r="F14" s="56">
        <f t="shared" si="0"/>
        <v>0.78379857690202515</v>
      </c>
      <c r="G14" s="74">
        <f t="shared" si="1"/>
        <v>0.59397260273972596</v>
      </c>
      <c r="H14" s="74">
        <f t="shared" si="2"/>
        <v>318.8360273972603</v>
      </c>
      <c r="I14" s="74">
        <f t="shared" si="3"/>
        <v>0.56884256719692816</v>
      </c>
      <c r="J14" s="89">
        <f t="shared" si="4"/>
        <v>318.7411964873765</v>
      </c>
      <c r="K14" s="74">
        <f t="shared" si="5"/>
        <v>0.68880351262349071</v>
      </c>
      <c r="N14" s="62"/>
      <c r="O14" s="59"/>
      <c r="R14"/>
      <c r="S14" s="8"/>
    </row>
    <row r="15" spans="1:19" ht="19.5" customHeight="1">
      <c r="A15" t="s">
        <v>15</v>
      </c>
      <c r="B15" t="s">
        <v>3</v>
      </c>
      <c r="D15" s="30">
        <v>427.25</v>
      </c>
      <c r="E15" s="87">
        <v>0.77739999999999998</v>
      </c>
      <c r="F15" s="74">
        <f t="shared" si="0"/>
        <v>426.29009304871369</v>
      </c>
      <c r="G15" s="74">
        <f t="shared" si="1"/>
        <v>426.56657534246574</v>
      </c>
      <c r="H15" s="74">
        <f t="shared" si="2"/>
        <v>0.6834246575342604</v>
      </c>
      <c r="I15" s="74">
        <f t="shared" si="3"/>
        <v>427.00877674163462</v>
      </c>
      <c r="J15" s="89">
        <f t="shared" si="4"/>
        <v>-0.11278814489571687</v>
      </c>
      <c r="K15" s="74">
        <f t="shared" si="5"/>
        <v>427.36278814489572</v>
      </c>
      <c r="N15" s="62"/>
      <c r="O15" s="59"/>
    </row>
    <row r="16" spans="1:19" ht="20.25" customHeight="1" thickBot="1">
      <c r="A16" t="s">
        <v>16</v>
      </c>
      <c r="B16" t="s">
        <v>3</v>
      </c>
      <c r="D16" s="31">
        <v>427.25</v>
      </c>
      <c r="E16" s="87"/>
      <c r="F16" s="56">
        <f t="shared" si="0"/>
        <v>0.78379857690202515</v>
      </c>
      <c r="G16" s="74">
        <f t="shared" si="1"/>
        <v>0.59397260273972596</v>
      </c>
      <c r="H16" s="74">
        <f t="shared" si="2"/>
        <v>426.65602739726029</v>
      </c>
      <c r="I16" s="74">
        <f t="shared" si="3"/>
        <v>0.56884256719692816</v>
      </c>
      <c r="J16" s="89">
        <f t="shared" si="4"/>
        <v>426.56119648737649</v>
      </c>
      <c r="K16" s="74">
        <f t="shared" si="5"/>
        <v>0.68880351262349071</v>
      </c>
    </row>
    <row r="17" spans="1:20" ht="17.5" customHeight="1">
      <c r="F17" s="56"/>
      <c r="G17" s="51"/>
      <c r="H17" s="52"/>
      <c r="I17" s="128" t="s">
        <v>17</v>
      </c>
      <c r="J17" s="115"/>
      <c r="K17" s="115"/>
      <c r="L17" s="115"/>
      <c r="M17" s="143" t="s">
        <v>18</v>
      </c>
      <c r="N17" s="144"/>
      <c r="O17" s="129"/>
      <c r="P17" s="129"/>
    </row>
    <row r="18" spans="1:20" ht="14.5" customHeight="1">
      <c r="G18" s="51"/>
      <c r="H18" s="52"/>
      <c r="I18" s="119"/>
      <c r="J18" s="119"/>
      <c r="K18" s="119"/>
      <c r="L18" s="119"/>
      <c r="M18" s="142" t="s">
        <v>19</v>
      </c>
      <c r="N18" s="119"/>
      <c r="O18" s="119"/>
      <c r="P18" s="119"/>
    </row>
    <row r="19" spans="1:20">
      <c r="A19" s="39" t="s">
        <v>20</v>
      </c>
      <c r="B19" s="34" t="s">
        <v>21</v>
      </c>
      <c r="C19" s="34"/>
      <c r="D19" s="34">
        <f t="shared" ref="D19:D50" si="6">(E19+0.001255)/0.001822</f>
        <v>244.9259055982437</v>
      </c>
      <c r="E19" s="88">
        <v>0.44500000000000001</v>
      </c>
      <c r="G19" s="3"/>
      <c r="H19" s="4"/>
      <c r="I19" s="5" t="s">
        <v>22</v>
      </c>
      <c r="J19" s="3" t="s">
        <v>23</v>
      </c>
      <c r="K19" s="6" t="s">
        <v>24</v>
      </c>
      <c r="L19" s="4" t="s">
        <v>25</v>
      </c>
      <c r="M19" s="57" t="s">
        <v>26</v>
      </c>
      <c r="N19" s="63" t="s">
        <v>27</v>
      </c>
      <c r="O19" s="60" t="s">
        <v>28</v>
      </c>
      <c r="P19" s="58" t="s">
        <v>29</v>
      </c>
      <c r="S19"/>
      <c r="T19" s="15"/>
    </row>
    <row r="20" spans="1:20">
      <c r="A20" s="39" t="s">
        <v>30</v>
      </c>
      <c r="B20" s="34" t="s">
        <v>21</v>
      </c>
      <c r="C20" s="34"/>
      <c r="D20" s="34">
        <f t="shared" si="6"/>
        <v>245.85894621295279</v>
      </c>
      <c r="E20" s="87">
        <v>0.44669999999999999</v>
      </c>
      <c r="G20" s="25" t="s">
        <v>31</v>
      </c>
      <c r="H20" s="23" t="s">
        <v>32</v>
      </c>
      <c r="I20" s="20">
        <v>244.8</v>
      </c>
      <c r="J20" s="7">
        <f>D19</f>
        <v>244.9259055982437</v>
      </c>
      <c r="K20" s="8">
        <f>D20</f>
        <v>245.85894621295279</v>
      </c>
      <c r="L20" s="9">
        <f>D21</f>
        <v>245.80406147091108</v>
      </c>
      <c r="M20" s="21">
        <f>AVERAGE(J20:L20)</f>
        <v>245.52963776070251</v>
      </c>
      <c r="N20" s="64">
        <f>STDEV(J20:L20)</f>
        <v>0.52356706993244861</v>
      </c>
      <c r="O20" s="67">
        <f>N20/M20*100</f>
        <v>0.2132398657479902</v>
      </c>
      <c r="P20" s="70">
        <f>(M20-I20)/I20*100</f>
        <v>0.29805464080984567</v>
      </c>
      <c r="R20" s="13"/>
      <c r="S20"/>
      <c r="T20" s="15"/>
    </row>
    <row r="21" spans="1:20" ht="17.25" customHeight="1" thickBot="1">
      <c r="A21" s="39" t="s">
        <v>33</v>
      </c>
      <c r="B21" s="35" t="s">
        <v>21</v>
      </c>
      <c r="C21" s="35"/>
      <c r="D21" s="34">
        <f t="shared" si="6"/>
        <v>245.80406147091108</v>
      </c>
      <c r="E21" s="87">
        <v>0.4466</v>
      </c>
      <c r="G21" s="26"/>
      <c r="H21" s="24"/>
      <c r="I21" s="28"/>
      <c r="J21" s="42"/>
      <c r="K21" s="10"/>
      <c r="L21" s="11"/>
      <c r="M21" s="22"/>
      <c r="N21" s="65"/>
      <c r="O21" s="68"/>
      <c r="P21" s="71"/>
      <c r="R21" s="13"/>
      <c r="S21"/>
      <c r="T21" s="15"/>
    </row>
    <row r="22" spans="1:20">
      <c r="A22" s="38"/>
      <c r="B22" s="36"/>
      <c r="C22" s="36"/>
      <c r="D22" s="34">
        <f t="shared" si="6"/>
        <v>0.68880351262349071</v>
      </c>
      <c r="E22" s="1"/>
      <c r="G22" s="127" t="s">
        <v>34</v>
      </c>
      <c r="H22" s="23" t="s">
        <v>35</v>
      </c>
      <c r="I22" s="55">
        <v>169.55748014573379</v>
      </c>
      <c r="J22" s="48">
        <f>D25</f>
        <v>170.11800219538966</v>
      </c>
      <c r="K22" s="16">
        <f>D26</f>
        <v>171.92919868276618</v>
      </c>
      <c r="L22" s="14">
        <f>D27</f>
        <v>170.77661909989024</v>
      </c>
      <c r="M22" s="20">
        <f>AVERAGE(J22:L22)</f>
        <v>170.94127332601536</v>
      </c>
      <c r="N22" s="66">
        <f>STDEV(J22:L22)</f>
        <v>0.91675593240889841</v>
      </c>
      <c r="O22" s="69">
        <f>N22/M22*100</f>
        <v>0.53629876189144909</v>
      </c>
      <c r="P22" s="72">
        <f>(M22-I22)/I22*100</f>
        <v>0.81612039710203788</v>
      </c>
      <c r="Q22" s="109"/>
      <c r="R22" s="13"/>
      <c r="S22"/>
    </row>
    <row r="23" spans="1:20">
      <c r="A23" s="39"/>
      <c r="B23" s="34"/>
      <c r="C23" s="34"/>
      <c r="D23" s="34">
        <f t="shared" si="6"/>
        <v>0.68880351262349071</v>
      </c>
      <c r="E23" s="1"/>
      <c r="G23" s="117"/>
      <c r="H23" s="24"/>
      <c r="I23" s="19"/>
      <c r="J23" s="42"/>
      <c r="K23" s="10"/>
      <c r="L23" s="11"/>
      <c r="M23" s="22"/>
      <c r="N23" s="65"/>
      <c r="O23" s="68"/>
      <c r="P23" s="71"/>
      <c r="Q23" s="109"/>
      <c r="R23" s="13"/>
      <c r="S23"/>
      <c r="T23" s="15"/>
    </row>
    <row r="24" spans="1:20" ht="17.25" customHeight="1" thickBot="1">
      <c r="A24" s="37"/>
      <c r="B24" s="35"/>
      <c r="C24" s="35"/>
      <c r="D24" s="34">
        <f t="shared" si="6"/>
        <v>0.68880351262349071</v>
      </c>
      <c r="E24" s="1"/>
      <c r="G24" s="127" t="s">
        <v>36</v>
      </c>
      <c r="H24" s="75" t="s">
        <v>37</v>
      </c>
      <c r="I24" s="18"/>
      <c r="J24" s="48">
        <f>D31</f>
        <v>160.40340285400657</v>
      </c>
      <c r="K24" s="16">
        <f>D32</f>
        <v>160.73271130625687</v>
      </c>
      <c r="L24" s="14">
        <f>D33</f>
        <v>160.56805708013172</v>
      </c>
      <c r="M24" s="21">
        <f t="shared" ref="M24:M30" si="7">AVERAGE(J24:L24)</f>
        <v>160.56805708013172</v>
      </c>
      <c r="N24" s="64">
        <f t="shared" ref="N24:N30" si="8">STDEV(J24:L24)</f>
        <v>0.16465422612515113</v>
      </c>
      <c r="O24" s="67">
        <f t="shared" ref="O24:O30" si="9">N24/M24*100</f>
        <v>0.10254482063202658</v>
      </c>
      <c r="P24" s="70" t="e">
        <f t="shared" ref="P24:P30" si="10">(M24-I24)/I24*100</f>
        <v>#DIV/0!</v>
      </c>
      <c r="Q24" s="109"/>
      <c r="R24" s="13"/>
      <c r="S24"/>
      <c r="T24" s="15"/>
    </row>
    <row r="25" spans="1:20" ht="19.5" customHeight="1">
      <c r="A25" s="29" t="s">
        <v>38</v>
      </c>
      <c r="B25" s="36" t="s">
        <v>21</v>
      </c>
      <c r="C25" s="36"/>
      <c r="D25" s="34">
        <f t="shared" si="6"/>
        <v>170.11800219538966</v>
      </c>
      <c r="E25" s="87">
        <v>0.30869999999999997</v>
      </c>
      <c r="G25" s="121"/>
      <c r="H25" s="75" t="s">
        <v>39</v>
      </c>
      <c r="I25" s="18"/>
      <c r="J25" s="7">
        <f>D34</f>
        <v>161.17178924259056</v>
      </c>
      <c r="K25" s="8">
        <f>D35</f>
        <v>160.78759604829858</v>
      </c>
      <c r="L25" s="9">
        <f>D36</f>
        <v>159.74478594950602</v>
      </c>
      <c r="M25" s="21">
        <f t="shared" si="7"/>
        <v>160.56805708013172</v>
      </c>
      <c r="N25" s="64">
        <f t="shared" si="8"/>
        <v>0.73839868534982944</v>
      </c>
      <c r="O25" s="67">
        <f t="shared" si="9"/>
        <v>0.4598664882525984</v>
      </c>
      <c r="P25" s="70" t="e">
        <f t="shared" si="10"/>
        <v>#DIV/0!</v>
      </c>
      <c r="Q25" s="109"/>
      <c r="R25" s="13"/>
      <c r="S25"/>
      <c r="T25" s="15"/>
    </row>
    <row r="26" spans="1:20" ht="19.5" customHeight="1">
      <c r="A26" s="29" t="s">
        <v>40</v>
      </c>
      <c r="B26" s="34" t="s">
        <v>21</v>
      </c>
      <c r="C26" s="34"/>
      <c r="D26" s="34">
        <f t="shared" si="6"/>
        <v>171.92919868276618</v>
      </c>
      <c r="E26" s="87">
        <v>0.312</v>
      </c>
      <c r="G26" s="121"/>
      <c r="H26" s="75" t="s">
        <v>41</v>
      </c>
      <c r="I26" s="18"/>
      <c r="J26" s="7">
        <f>D37</f>
        <v>240.42535675082328</v>
      </c>
      <c r="K26" s="8">
        <f>D38</f>
        <v>240.37047200878155</v>
      </c>
      <c r="L26" s="9">
        <f>D39</f>
        <v>240.59001097694841</v>
      </c>
      <c r="M26" s="21">
        <f t="shared" si="7"/>
        <v>240.46194657885107</v>
      </c>
      <c r="N26" s="64">
        <f t="shared" si="8"/>
        <v>0.11425170139770344</v>
      </c>
      <c r="O26" s="67">
        <f t="shared" si="9"/>
        <v>4.7513422819372625E-2</v>
      </c>
      <c r="P26" s="70" t="e">
        <f t="shared" si="10"/>
        <v>#DIV/0!</v>
      </c>
      <c r="Q26" s="109"/>
      <c r="R26" s="13"/>
      <c r="S26"/>
      <c r="T26" s="15"/>
    </row>
    <row r="27" spans="1:20" ht="20.25" customHeight="1" thickBot="1">
      <c r="A27" s="29" t="s">
        <v>42</v>
      </c>
      <c r="B27" s="35" t="s">
        <v>21</v>
      </c>
      <c r="C27" s="35"/>
      <c r="D27" s="34">
        <f t="shared" si="6"/>
        <v>170.77661909989024</v>
      </c>
      <c r="E27" s="87">
        <v>0.30990000000000001</v>
      </c>
      <c r="G27" s="121"/>
      <c r="H27" s="75" t="s">
        <v>43</v>
      </c>
      <c r="I27" s="18"/>
      <c r="J27" s="7">
        <f>D40</f>
        <v>241.63282107574094</v>
      </c>
      <c r="K27" s="8">
        <f>D41</f>
        <v>241.0839736553238</v>
      </c>
      <c r="L27" s="9">
        <f>D42</f>
        <v>242.78540065861691</v>
      </c>
      <c r="M27" s="21">
        <f t="shared" si="7"/>
        <v>241.8340651298939</v>
      </c>
      <c r="N27" s="64">
        <f t="shared" si="8"/>
        <v>0.86838231147500611</v>
      </c>
      <c r="O27" s="67">
        <f t="shared" si="9"/>
        <v>0.3590818816234928</v>
      </c>
      <c r="P27" s="70" t="e">
        <f t="shared" si="10"/>
        <v>#DIV/0!</v>
      </c>
      <c r="Q27" s="109"/>
      <c r="R27" s="13"/>
      <c r="S27"/>
      <c r="T27" s="15"/>
    </row>
    <row r="28" spans="1:20" ht="17.25" customHeight="1" thickBot="1">
      <c r="A28" s="86" t="s">
        <v>44</v>
      </c>
      <c r="B28" s="35" t="s">
        <v>21</v>
      </c>
      <c r="C28" s="54"/>
      <c r="D28" s="34">
        <f t="shared" si="6"/>
        <v>152.77442371020857</v>
      </c>
      <c r="E28" s="87">
        <v>0.27710000000000001</v>
      </c>
      <c r="G28" s="121"/>
      <c r="H28" s="75" t="s">
        <v>45</v>
      </c>
      <c r="I28" s="18"/>
      <c r="J28" s="7">
        <f>D43</f>
        <v>131.14983534577388</v>
      </c>
      <c r="K28" s="8">
        <f>D44</f>
        <v>131.2596048298573</v>
      </c>
      <c r="L28" s="9">
        <f>D45</f>
        <v>131.69868276619098</v>
      </c>
      <c r="M28" s="21">
        <f t="shared" si="7"/>
        <v>131.36937431394071</v>
      </c>
      <c r="N28" s="64">
        <f t="shared" si="8"/>
        <v>0.29042275642859539</v>
      </c>
      <c r="O28" s="67">
        <f t="shared" si="9"/>
        <v>0.22107341071333411</v>
      </c>
      <c r="P28" s="70" t="e">
        <f t="shared" si="10"/>
        <v>#DIV/0!</v>
      </c>
      <c r="Q28" s="109"/>
      <c r="R28" s="13"/>
      <c r="S28"/>
      <c r="T28" s="15"/>
    </row>
    <row r="29" spans="1:20" ht="17.25" customHeight="1" thickBot="1">
      <c r="A29" s="86" t="s">
        <v>46</v>
      </c>
      <c r="B29" s="35" t="s">
        <v>21</v>
      </c>
      <c r="C29" s="54"/>
      <c r="D29" s="34">
        <f t="shared" si="6"/>
        <v>152.55488474204171</v>
      </c>
      <c r="E29" s="87">
        <v>0.2767</v>
      </c>
      <c r="G29" s="117"/>
      <c r="H29" s="75" t="s">
        <v>47</v>
      </c>
      <c r="I29" s="18"/>
      <c r="J29" s="7">
        <f>D46</f>
        <v>132.30241492864985</v>
      </c>
      <c r="K29" s="8">
        <f>D47</f>
        <v>132.19264544456641</v>
      </c>
      <c r="L29" s="9">
        <f>D48</f>
        <v>132.74149286498354</v>
      </c>
      <c r="M29" s="22">
        <f t="shared" si="7"/>
        <v>132.41218441273327</v>
      </c>
      <c r="N29" s="65">
        <f t="shared" si="8"/>
        <v>0.29042275642860615</v>
      </c>
      <c r="O29" s="68">
        <f t="shared" si="9"/>
        <v>0.21933235050586325</v>
      </c>
      <c r="P29" s="71" t="e">
        <f t="shared" si="10"/>
        <v>#DIV/0!</v>
      </c>
      <c r="Q29" s="109"/>
      <c r="R29" s="13"/>
      <c r="S29"/>
      <c r="T29" s="15"/>
    </row>
    <row r="30" spans="1:20" ht="17.25" customHeight="1" thickBot="1">
      <c r="A30" s="86" t="s">
        <v>48</v>
      </c>
      <c r="B30" s="35" t="s">
        <v>21</v>
      </c>
      <c r="C30" s="54"/>
      <c r="D30" s="34">
        <f t="shared" si="6"/>
        <v>154.09165751920966</v>
      </c>
      <c r="E30" s="87">
        <v>0.27950000000000003</v>
      </c>
      <c r="G30" s="116" t="s">
        <v>49</v>
      </c>
      <c r="H30" s="23" t="s">
        <v>35</v>
      </c>
      <c r="I30" s="55">
        <v>49.006709047562687</v>
      </c>
      <c r="J30" s="48">
        <f>D49*1.09</f>
        <v>49.627305159165751</v>
      </c>
      <c r="K30" s="16">
        <f>D50*1.09</f>
        <v>49.208534577387489</v>
      </c>
      <c r="L30" s="14">
        <f>D51*1.09</f>
        <v>49.567480790340298</v>
      </c>
      <c r="M30" s="20">
        <f t="shared" si="7"/>
        <v>49.467773508964513</v>
      </c>
      <c r="N30" s="66">
        <f t="shared" si="8"/>
        <v>0.22649140493678432</v>
      </c>
      <c r="O30" s="69">
        <f t="shared" si="9"/>
        <v>0.45785647679441183</v>
      </c>
      <c r="P30" s="72">
        <f t="shared" si="10"/>
        <v>0.94081906408844296</v>
      </c>
      <c r="Q30" s="109"/>
      <c r="R30" s="13"/>
      <c r="S30"/>
      <c r="T30" s="15"/>
    </row>
    <row r="31" spans="1:20" ht="22.5" customHeight="1" thickBot="1">
      <c r="A31" s="29" t="s">
        <v>50</v>
      </c>
      <c r="B31" s="35" t="s">
        <v>21</v>
      </c>
      <c r="C31" s="36"/>
      <c r="D31" s="34">
        <f t="shared" si="6"/>
        <v>160.40340285400657</v>
      </c>
      <c r="E31" s="87">
        <v>0.29099999999999998</v>
      </c>
      <c r="G31" s="117"/>
      <c r="H31" s="24"/>
      <c r="I31" s="85"/>
      <c r="J31" s="42"/>
      <c r="K31" s="10"/>
      <c r="L31" s="11"/>
      <c r="M31" s="22"/>
      <c r="N31" s="65"/>
      <c r="O31" s="68"/>
      <c r="P31" s="71"/>
      <c r="Q31" s="109"/>
      <c r="R31" s="13"/>
      <c r="S31"/>
      <c r="T31" s="15"/>
    </row>
    <row r="32" spans="1:20" ht="20.25" customHeight="1" thickBot="1">
      <c r="A32" s="29" t="s">
        <v>51</v>
      </c>
      <c r="B32" s="35" t="s">
        <v>21</v>
      </c>
      <c r="C32" s="34"/>
      <c r="D32" s="34">
        <f t="shared" si="6"/>
        <v>160.73271130625687</v>
      </c>
      <c r="E32" s="87">
        <v>0.29160000000000003</v>
      </c>
      <c r="G32" s="132" t="s">
        <v>52</v>
      </c>
      <c r="H32" s="75" t="s">
        <v>37</v>
      </c>
      <c r="I32" s="18"/>
      <c r="J32" s="7">
        <f>D55*1.09</f>
        <v>47.174506037321628</v>
      </c>
      <c r="K32" s="8">
        <f>D56*1.09</f>
        <v>46.097667398463237</v>
      </c>
      <c r="L32" s="9">
        <f>D57*1.09</f>
        <v>46.935208562019767</v>
      </c>
      <c r="M32" s="21">
        <f t="shared" ref="M32:M38" si="11">AVERAGE(J32:L32)</f>
        <v>46.735793999268218</v>
      </c>
      <c r="N32" s="64">
        <f t="shared" ref="N32:N38" si="12">STDEV(J32:L32)</f>
        <v>0.56543787405217527</v>
      </c>
      <c r="O32" s="67">
        <f t="shared" ref="O32:O38" si="13">N32/M32*100</f>
        <v>1.2098604210319586</v>
      </c>
      <c r="P32" s="70" t="e">
        <f t="shared" ref="P32:P38" si="14">(M32-I32)/I32*100</f>
        <v>#DIV/0!</v>
      </c>
      <c r="Q32" s="109"/>
      <c r="R32" s="13"/>
      <c r="S32"/>
      <c r="T32" s="15"/>
    </row>
    <row r="33" spans="1:20" ht="20.25" customHeight="1" thickBot="1">
      <c r="A33" s="29" t="s">
        <v>53</v>
      </c>
      <c r="B33" s="35" t="s">
        <v>21</v>
      </c>
      <c r="C33" s="35"/>
      <c r="D33" s="34">
        <f t="shared" si="6"/>
        <v>160.56805708013172</v>
      </c>
      <c r="E33" s="87">
        <v>0.2913</v>
      </c>
      <c r="G33" s="123"/>
      <c r="H33" s="75" t="s">
        <v>39</v>
      </c>
      <c r="I33" s="18"/>
      <c r="J33" s="8">
        <f>D58*1.09</f>
        <v>46.396789242590572</v>
      </c>
      <c r="K33" s="8">
        <f>D59*1.09</f>
        <v>46.636086717892432</v>
      </c>
      <c r="L33" s="9">
        <f>D60*1.09</f>
        <v>46.695911086717892</v>
      </c>
      <c r="M33" s="21">
        <f t="shared" si="11"/>
        <v>46.576262349066972</v>
      </c>
      <c r="N33" s="64">
        <f t="shared" si="12"/>
        <v>0.15828040225358403</v>
      </c>
      <c r="O33" s="67">
        <f t="shared" si="13"/>
        <v>0.33983062244743378</v>
      </c>
      <c r="P33" s="70" t="e">
        <f t="shared" si="14"/>
        <v>#DIV/0!</v>
      </c>
      <c r="Q33" s="109"/>
      <c r="R33" s="13"/>
      <c r="S33" s="8"/>
    </row>
    <row r="34" spans="1:20" ht="19.5" customHeight="1">
      <c r="A34" s="29" t="s">
        <v>54</v>
      </c>
      <c r="B34" s="36" t="s">
        <v>21</v>
      </c>
      <c r="C34" s="36"/>
      <c r="D34" s="34">
        <f t="shared" si="6"/>
        <v>161.17178924259056</v>
      </c>
      <c r="E34" s="87">
        <v>0.29239999999999999</v>
      </c>
      <c r="G34" s="123"/>
      <c r="H34" s="75" t="s">
        <v>41</v>
      </c>
      <c r="I34" s="18"/>
      <c r="J34" s="8">
        <f>D61*1.09</f>
        <v>57.165175631174534</v>
      </c>
      <c r="K34" s="8">
        <f>D62*1.09</f>
        <v>56.985702524698141</v>
      </c>
      <c r="L34" s="9">
        <f>D63*1.09</f>
        <v>57.165175631174534</v>
      </c>
      <c r="M34" s="21">
        <f t="shared" si="11"/>
        <v>57.105351262349075</v>
      </c>
      <c r="N34" s="64">
        <f t="shared" si="12"/>
        <v>0.10361884633644426</v>
      </c>
      <c r="O34" s="67">
        <f t="shared" si="13"/>
        <v>0.18145207768779217</v>
      </c>
      <c r="P34" s="70" t="e">
        <f t="shared" si="14"/>
        <v>#DIV/0!</v>
      </c>
      <c r="Q34" s="109"/>
      <c r="R34" s="13"/>
      <c r="S34"/>
      <c r="T34" s="15"/>
    </row>
    <row r="35" spans="1:20" ht="19.5" customHeight="1">
      <c r="A35" s="29" t="s">
        <v>55</v>
      </c>
      <c r="B35" s="34" t="s">
        <v>21</v>
      </c>
      <c r="C35" s="34"/>
      <c r="D35" s="34">
        <f t="shared" si="6"/>
        <v>160.78759604829858</v>
      </c>
      <c r="E35" s="87">
        <v>0.29170000000000001</v>
      </c>
      <c r="G35" s="123"/>
      <c r="H35" s="75" t="s">
        <v>43</v>
      </c>
      <c r="I35" s="18"/>
      <c r="J35" s="8">
        <f>D64*1.09</f>
        <v>57.284824368825475</v>
      </c>
      <c r="K35" s="8">
        <f>D65*1.09</f>
        <v>57.64377058177827</v>
      </c>
      <c r="L35" s="9">
        <f>D66*1.09</f>
        <v>56.985702524698141</v>
      </c>
      <c r="M35" s="21">
        <f t="shared" si="11"/>
        <v>57.304765825100638</v>
      </c>
      <c r="N35" s="64">
        <f t="shared" si="12"/>
        <v>0.32948693175311888</v>
      </c>
      <c r="O35" s="67">
        <f t="shared" si="13"/>
        <v>0.57497300095203774</v>
      </c>
      <c r="P35" s="70" t="e">
        <f t="shared" si="14"/>
        <v>#DIV/0!</v>
      </c>
      <c r="Q35" s="109"/>
      <c r="R35" s="13"/>
      <c r="S35"/>
      <c r="T35" s="15"/>
    </row>
    <row r="36" spans="1:20" ht="20.25" customHeight="1" thickBot="1">
      <c r="A36" s="29" t="s">
        <v>56</v>
      </c>
      <c r="B36" s="35" t="s">
        <v>21</v>
      </c>
      <c r="C36" s="35"/>
      <c r="D36" s="34">
        <f t="shared" si="6"/>
        <v>159.74478594950602</v>
      </c>
      <c r="E36" s="87">
        <v>0.2898</v>
      </c>
      <c r="G36" s="123"/>
      <c r="H36" s="75" t="s">
        <v>45</v>
      </c>
      <c r="I36" s="18"/>
      <c r="J36" s="8">
        <f>D67*1.09</f>
        <v>52.917645444566418</v>
      </c>
      <c r="K36" s="8">
        <f>D68*1.09</f>
        <v>52.498874862788149</v>
      </c>
      <c r="L36" s="9">
        <f>D69*1.09</f>
        <v>52.498874862788149</v>
      </c>
      <c r="M36" s="21">
        <f t="shared" si="11"/>
        <v>52.638465056714239</v>
      </c>
      <c r="N36" s="64">
        <f t="shared" si="12"/>
        <v>0.24177730811837952</v>
      </c>
      <c r="O36" s="67">
        <f t="shared" si="13"/>
        <v>0.45931679021772676</v>
      </c>
      <c r="P36" s="70" t="e">
        <f t="shared" si="14"/>
        <v>#DIV/0!</v>
      </c>
      <c r="Q36" s="109"/>
      <c r="R36" s="13"/>
      <c r="S36"/>
      <c r="T36" s="15"/>
    </row>
    <row r="37" spans="1:20" ht="19.5" customHeight="1">
      <c r="A37" s="29" t="s">
        <v>57</v>
      </c>
      <c r="B37" s="36" t="s">
        <v>21</v>
      </c>
      <c r="C37" s="36"/>
      <c r="D37" s="34">
        <f t="shared" si="6"/>
        <v>240.42535675082328</v>
      </c>
      <c r="E37" s="87">
        <v>0.43680000000000002</v>
      </c>
      <c r="G37" s="124"/>
      <c r="H37" s="75" t="s">
        <v>47</v>
      </c>
      <c r="I37" s="18"/>
      <c r="J37" s="8">
        <f>D70*1.09</f>
        <v>52.857821075740944</v>
      </c>
      <c r="K37" s="8">
        <f>D71*1.09</f>
        <v>52.857821075740944</v>
      </c>
      <c r="L37" s="9">
        <f>D72*1.09</f>
        <v>52.917645444566418</v>
      </c>
      <c r="M37" s="21">
        <f t="shared" si="11"/>
        <v>52.877762532016106</v>
      </c>
      <c r="N37" s="64">
        <f t="shared" si="12"/>
        <v>3.4539615445486893E-2</v>
      </c>
      <c r="O37" s="67">
        <f t="shared" si="13"/>
        <v>6.5319737053121441E-2</v>
      </c>
      <c r="P37" s="70" t="e">
        <f t="shared" si="14"/>
        <v>#DIV/0!</v>
      </c>
      <c r="Q37" s="109"/>
      <c r="R37" s="13"/>
      <c r="S37"/>
      <c r="T37" s="15"/>
    </row>
    <row r="38" spans="1:20" ht="19.5" customHeight="1">
      <c r="A38" s="29" t="s">
        <v>58</v>
      </c>
      <c r="B38" s="34" t="s">
        <v>21</v>
      </c>
      <c r="C38" s="34"/>
      <c r="D38" s="34">
        <f t="shared" si="6"/>
        <v>240.37047200878155</v>
      </c>
      <c r="E38" s="87">
        <v>0.43669999999999998</v>
      </c>
      <c r="G38" s="130" t="s">
        <v>59</v>
      </c>
      <c r="H38" s="23" t="s">
        <v>35</v>
      </c>
      <c r="I38" s="55">
        <v>120.5507710981711</v>
      </c>
      <c r="J38" s="48">
        <f>J22-J30</f>
        <v>120.49069703622391</v>
      </c>
      <c r="K38" s="16">
        <f>K22-K30</f>
        <v>122.72066410537869</v>
      </c>
      <c r="L38" s="14">
        <f>L22-L30</f>
        <v>121.20913830954994</v>
      </c>
      <c r="M38" s="20">
        <f t="shared" si="11"/>
        <v>121.47349981705084</v>
      </c>
      <c r="N38" s="90">
        <f t="shared" si="12"/>
        <v>1.1382458158784525</v>
      </c>
      <c r="O38" s="69">
        <f t="shared" si="13"/>
        <v>0.93703220668931508</v>
      </c>
      <c r="P38" s="72">
        <f t="shared" si="14"/>
        <v>0.76542747132518174</v>
      </c>
      <c r="Q38" s="109"/>
      <c r="R38" s="13"/>
      <c r="S38"/>
      <c r="T38" s="15"/>
    </row>
    <row r="39" spans="1:20" ht="20.25" customHeight="1" thickBot="1">
      <c r="A39" s="29" t="s">
        <v>60</v>
      </c>
      <c r="B39" s="35" t="s">
        <v>21</v>
      </c>
      <c r="C39" s="35"/>
      <c r="D39" s="34">
        <f t="shared" si="6"/>
        <v>240.59001097694841</v>
      </c>
      <c r="E39" s="87">
        <v>0.43709999999999999</v>
      </c>
      <c r="G39" s="117"/>
      <c r="H39" s="24"/>
      <c r="I39" s="85"/>
      <c r="J39" s="42"/>
      <c r="K39" s="10"/>
      <c r="L39" s="11"/>
      <c r="M39" s="22"/>
      <c r="N39" s="91"/>
      <c r="O39" s="68"/>
      <c r="P39" s="71"/>
      <c r="Q39" s="109"/>
      <c r="R39" s="13"/>
      <c r="S39"/>
      <c r="T39" s="15"/>
    </row>
    <row r="40" spans="1:20" ht="19.5" customHeight="1">
      <c r="A40" s="29" t="s">
        <v>61</v>
      </c>
      <c r="B40" s="36" t="s">
        <v>21</v>
      </c>
      <c r="C40" s="36"/>
      <c r="D40" s="34">
        <f t="shared" si="6"/>
        <v>241.63282107574094</v>
      </c>
      <c r="E40" s="87">
        <v>0.439</v>
      </c>
      <c r="G40" s="133" t="s">
        <v>62</v>
      </c>
      <c r="H40" s="75" t="s">
        <v>37</v>
      </c>
      <c r="I40" s="18"/>
      <c r="J40" s="7">
        <f t="shared" ref="J40:L45" si="15">J24-J32</f>
        <v>113.22889681668494</v>
      </c>
      <c r="K40" s="8">
        <f t="shared" si="15"/>
        <v>114.63504390779363</v>
      </c>
      <c r="L40" s="9">
        <f t="shared" si="15"/>
        <v>113.63284851811196</v>
      </c>
      <c r="M40" s="21">
        <f t="shared" ref="M40:M45" si="16">AVERAGE(J40:L40)</f>
        <v>113.83226308086351</v>
      </c>
      <c r="N40" s="64">
        <f t="shared" ref="N40:N45" si="17">STDEV(J40:L40)</f>
        <v>0.72397309089247508</v>
      </c>
      <c r="O40" s="67">
        <f t="shared" ref="O40:O45" si="18">N40/M40*100</f>
        <v>0.63599991012933066</v>
      </c>
      <c r="P40" s="70" t="e">
        <f t="shared" ref="P40:P45" si="19">(M40-I40)/I40*100</f>
        <v>#DIV/0!</v>
      </c>
      <c r="Q40" s="109"/>
      <c r="R40" s="13"/>
      <c r="S40"/>
      <c r="T40" s="15"/>
    </row>
    <row r="41" spans="1:20" ht="19.5" customHeight="1">
      <c r="A41" s="29" t="s">
        <v>63</v>
      </c>
      <c r="B41" s="34" t="s">
        <v>21</v>
      </c>
      <c r="C41" s="34"/>
      <c r="D41" s="34">
        <f t="shared" si="6"/>
        <v>241.0839736553238</v>
      </c>
      <c r="E41" s="87">
        <v>0.438</v>
      </c>
      <c r="G41" s="123"/>
      <c r="H41" s="75" t="s">
        <v>39</v>
      </c>
      <c r="I41" s="18"/>
      <c r="J41" s="7">
        <f t="shared" si="15"/>
        <v>114.77499999999999</v>
      </c>
      <c r="K41" s="8">
        <f t="shared" si="15"/>
        <v>114.15150933040616</v>
      </c>
      <c r="L41" s="9">
        <f t="shared" si="15"/>
        <v>113.04887486278813</v>
      </c>
      <c r="M41" s="21">
        <f t="shared" si="16"/>
        <v>113.99179473106476</v>
      </c>
      <c r="N41" s="64">
        <f t="shared" si="17"/>
        <v>0.87407583324375171</v>
      </c>
      <c r="O41" s="67">
        <f t="shared" si="18"/>
        <v>0.76678837744937334</v>
      </c>
      <c r="P41" s="70" t="e">
        <f t="shared" si="19"/>
        <v>#DIV/0!</v>
      </c>
      <c r="R41" s="13"/>
      <c r="S41"/>
      <c r="T41" s="15"/>
    </row>
    <row r="42" spans="1:20" ht="20.25" customHeight="1" thickBot="1">
      <c r="A42" s="29" t="s">
        <v>64</v>
      </c>
      <c r="B42" s="35" t="s">
        <v>21</v>
      </c>
      <c r="C42" s="35"/>
      <c r="D42" s="34">
        <f t="shared" si="6"/>
        <v>242.78540065861691</v>
      </c>
      <c r="E42" s="87">
        <v>0.44109999999999999</v>
      </c>
      <c r="G42" s="123"/>
      <c r="H42" s="75" t="s">
        <v>41</v>
      </c>
      <c r="I42" s="45"/>
      <c r="J42" s="7">
        <f t="shared" si="15"/>
        <v>183.26018111964873</v>
      </c>
      <c r="K42" s="8">
        <f t="shared" si="15"/>
        <v>183.38476948408339</v>
      </c>
      <c r="L42" s="9">
        <f t="shared" si="15"/>
        <v>183.42483534577389</v>
      </c>
      <c r="M42" s="21">
        <f t="shared" si="16"/>
        <v>183.35659531650199</v>
      </c>
      <c r="N42" s="64">
        <f t="shared" si="17"/>
        <v>8.5866706786718011E-2</v>
      </c>
      <c r="O42" s="67">
        <f t="shared" si="18"/>
        <v>4.6830443507362651E-2</v>
      </c>
      <c r="P42" s="70" t="e">
        <f t="shared" si="19"/>
        <v>#DIV/0!</v>
      </c>
      <c r="R42" s="13"/>
      <c r="S42"/>
    </row>
    <row r="43" spans="1:20" ht="19.5" customHeight="1">
      <c r="A43" s="29" t="s">
        <v>65</v>
      </c>
      <c r="B43" s="36" t="s">
        <v>21</v>
      </c>
      <c r="C43" s="36"/>
      <c r="D43" s="34">
        <f t="shared" si="6"/>
        <v>131.14983534577388</v>
      </c>
      <c r="E43" s="87">
        <v>0.23769999999999999</v>
      </c>
      <c r="G43" s="123"/>
      <c r="H43" s="75" t="s">
        <v>43</v>
      </c>
      <c r="I43" s="46"/>
      <c r="J43" s="7">
        <f t="shared" si="15"/>
        <v>184.34799670691547</v>
      </c>
      <c r="K43" s="8">
        <f t="shared" si="15"/>
        <v>183.44020307354555</v>
      </c>
      <c r="L43" s="9">
        <f t="shared" si="15"/>
        <v>185.79969813391875</v>
      </c>
      <c r="M43" s="21">
        <f t="shared" si="16"/>
        <v>184.52929930479323</v>
      </c>
      <c r="N43" s="64">
        <f t="shared" si="17"/>
        <v>1.1901500783427761</v>
      </c>
      <c r="O43" s="67">
        <f t="shared" si="18"/>
        <v>0.64496537017515321</v>
      </c>
      <c r="P43" s="70" t="e">
        <f t="shared" si="19"/>
        <v>#DIV/0!</v>
      </c>
      <c r="R43" s="13"/>
      <c r="S43"/>
      <c r="T43" s="15"/>
    </row>
    <row r="44" spans="1:20" ht="19.5" customHeight="1">
      <c r="A44" s="29" t="s">
        <v>66</v>
      </c>
      <c r="B44" s="34" t="s">
        <v>21</v>
      </c>
      <c r="C44" s="34"/>
      <c r="D44" s="34">
        <f t="shared" si="6"/>
        <v>131.2596048298573</v>
      </c>
      <c r="E44" s="87">
        <v>0.2379</v>
      </c>
      <c r="G44" s="123"/>
      <c r="H44" s="75" t="s">
        <v>45</v>
      </c>
      <c r="I44" s="45"/>
      <c r="J44" s="7">
        <f t="shared" si="15"/>
        <v>78.232189901207462</v>
      </c>
      <c r="K44" s="8">
        <f t="shared" si="15"/>
        <v>78.760729967069153</v>
      </c>
      <c r="L44" s="9">
        <f t="shared" si="15"/>
        <v>79.199807903402842</v>
      </c>
      <c r="M44" s="21">
        <f t="shared" si="16"/>
        <v>78.730909257226486</v>
      </c>
      <c r="N44" s="64">
        <f t="shared" si="17"/>
        <v>0.484497786986468</v>
      </c>
      <c r="O44" s="67">
        <f t="shared" si="18"/>
        <v>0.61538446787593437</v>
      </c>
      <c r="P44" s="70" t="e">
        <f t="shared" si="19"/>
        <v>#DIV/0!</v>
      </c>
      <c r="R44" s="13"/>
      <c r="S44"/>
      <c r="T44" s="15"/>
    </row>
    <row r="45" spans="1:20" ht="20.25" customHeight="1" thickBot="1">
      <c r="A45" s="29" t="s">
        <v>67</v>
      </c>
      <c r="B45" s="35" t="s">
        <v>21</v>
      </c>
      <c r="C45" s="35"/>
      <c r="D45" s="34">
        <f t="shared" si="6"/>
        <v>131.69868276619098</v>
      </c>
      <c r="E45" s="87">
        <v>0.2387</v>
      </c>
      <c r="G45" s="124"/>
      <c r="H45" s="24" t="s">
        <v>47</v>
      </c>
      <c r="I45" s="47"/>
      <c r="J45" s="42">
        <f t="shared" si="15"/>
        <v>79.444593852908909</v>
      </c>
      <c r="K45" s="10">
        <f t="shared" si="15"/>
        <v>79.334824368825466</v>
      </c>
      <c r="L45" s="11">
        <f t="shared" si="15"/>
        <v>79.823847420417124</v>
      </c>
      <c r="M45" s="22">
        <f t="shared" si="16"/>
        <v>79.534421880717161</v>
      </c>
      <c r="N45" s="65">
        <f t="shared" si="17"/>
        <v>0.2565885659610444</v>
      </c>
      <c r="O45" s="68">
        <f t="shared" si="18"/>
        <v>0.32261322820183014</v>
      </c>
      <c r="P45" s="71" t="e">
        <f t="shared" si="19"/>
        <v>#DIV/0!</v>
      </c>
      <c r="R45" s="13"/>
      <c r="S45"/>
      <c r="T45" s="15"/>
    </row>
    <row r="46" spans="1:20" ht="19.5" customHeight="1">
      <c r="A46" s="29" t="s">
        <v>68</v>
      </c>
      <c r="B46" s="36" t="s">
        <v>21</v>
      </c>
      <c r="C46" s="36"/>
      <c r="D46" s="34">
        <f t="shared" si="6"/>
        <v>132.30241492864985</v>
      </c>
      <c r="E46" s="87">
        <v>0.23980000000000001</v>
      </c>
      <c r="H46" s="2"/>
      <c r="I46" s="2"/>
      <c r="J46" s="2"/>
      <c r="K46" s="2"/>
      <c r="L46" s="2"/>
      <c r="M46" s="44"/>
      <c r="O46" s="44"/>
      <c r="P46" s="44"/>
      <c r="Q46" s="44"/>
    </row>
    <row r="47" spans="1:20" ht="19.5" customHeight="1">
      <c r="A47" s="29" t="s">
        <v>69</v>
      </c>
      <c r="B47" s="34" t="s">
        <v>21</v>
      </c>
      <c r="C47" s="34"/>
      <c r="D47" s="34">
        <f t="shared" si="6"/>
        <v>132.19264544456641</v>
      </c>
      <c r="E47" s="87">
        <v>0.23960000000000001</v>
      </c>
      <c r="G47" s="44"/>
      <c r="H47" s="13"/>
      <c r="I47" s="43"/>
      <c r="J47" s="8"/>
      <c r="K47" s="8"/>
      <c r="L47" s="8"/>
      <c r="M47" s="17"/>
      <c r="N47" s="64"/>
      <c r="O47" s="67"/>
      <c r="P47" s="67"/>
      <c r="Q47" s="73"/>
    </row>
    <row r="48" spans="1:20" ht="20.25" customHeight="1" thickBot="1">
      <c r="A48" s="29" t="s">
        <v>70</v>
      </c>
      <c r="B48" s="35" t="s">
        <v>21</v>
      </c>
      <c r="C48" s="35"/>
      <c r="D48" s="34">
        <f t="shared" si="6"/>
        <v>132.74149286498354</v>
      </c>
      <c r="E48" s="87">
        <v>0.24060000000000001</v>
      </c>
      <c r="G48" s="44"/>
      <c r="H48" s="13"/>
      <c r="I48" s="43"/>
      <c r="J48" s="8"/>
      <c r="K48" s="8"/>
      <c r="L48" s="8"/>
      <c r="M48" s="17"/>
      <c r="N48" s="64"/>
      <c r="O48" s="67"/>
      <c r="P48" s="67"/>
      <c r="Q48" s="73"/>
    </row>
    <row r="49" spans="1:18" ht="19.5" customHeight="1">
      <c r="A49" s="29" t="s">
        <v>71</v>
      </c>
      <c r="B49" s="36" t="s">
        <v>21</v>
      </c>
      <c r="C49" s="36"/>
      <c r="D49" s="34">
        <f t="shared" si="6"/>
        <v>45.529637760702521</v>
      </c>
      <c r="E49" s="88">
        <v>8.1699999999999995E-2</v>
      </c>
      <c r="G49" s="80"/>
      <c r="H49" s="80"/>
      <c r="I49" s="77"/>
      <c r="J49" s="77"/>
      <c r="K49" s="77"/>
      <c r="L49" s="77"/>
      <c r="M49" s="76"/>
      <c r="N49" s="76"/>
      <c r="O49" s="76"/>
      <c r="P49" s="76"/>
      <c r="Q49" s="76"/>
      <c r="R49"/>
    </row>
    <row r="50" spans="1:18" ht="19.5" customHeight="1">
      <c r="A50" s="29" t="s">
        <v>72</v>
      </c>
      <c r="B50" s="34" t="s">
        <v>21</v>
      </c>
      <c r="C50" s="34"/>
      <c r="D50" s="34">
        <f t="shared" si="6"/>
        <v>45.145444566410539</v>
      </c>
      <c r="E50" s="88">
        <v>8.1000000000000003E-2</v>
      </c>
      <c r="G50" s="80"/>
      <c r="H50" s="80"/>
      <c r="I50" s="77"/>
      <c r="J50" s="77"/>
      <c r="K50" s="77"/>
      <c r="L50" s="77"/>
      <c r="M50" s="12"/>
      <c r="N50" s="12"/>
      <c r="O50" s="12"/>
      <c r="P50" s="12"/>
      <c r="Q50" s="12"/>
      <c r="R50"/>
    </row>
    <row r="51" spans="1:18" ht="20.25" customHeight="1" thickBot="1">
      <c r="A51" s="29" t="s">
        <v>73</v>
      </c>
      <c r="B51" s="35" t="s">
        <v>21</v>
      </c>
      <c r="C51" s="35"/>
      <c r="D51" s="34">
        <f t="shared" ref="D51:D72" si="20">(E51+0.001255)/0.001822</f>
        <v>45.47475301866082</v>
      </c>
      <c r="E51" s="88">
        <v>8.1600000000000006E-2</v>
      </c>
      <c r="H51" s="2"/>
      <c r="I51" s="2"/>
      <c r="J51" s="2"/>
      <c r="K51" s="2"/>
      <c r="L51" s="2"/>
      <c r="M51" s="44"/>
      <c r="N51" s="78"/>
      <c r="O51" s="44"/>
      <c r="P51" s="44"/>
      <c r="Q51" s="44"/>
      <c r="R51" s="44"/>
    </row>
    <row r="52" spans="1:18" ht="17.25" customHeight="1" thickBot="1">
      <c r="A52" s="86" t="s">
        <v>74</v>
      </c>
      <c r="B52" s="35" t="s">
        <v>21</v>
      </c>
      <c r="C52" s="54"/>
      <c r="D52" s="34">
        <f t="shared" si="20"/>
        <v>47.889681668496159</v>
      </c>
      <c r="E52" s="88">
        <v>8.5999999999999993E-2</v>
      </c>
      <c r="G52" s="44"/>
      <c r="H52" s="13"/>
      <c r="I52" s="43"/>
      <c r="J52" s="64"/>
      <c r="K52" s="64"/>
      <c r="L52" s="64"/>
      <c r="M52" s="17"/>
      <c r="N52" s="64"/>
      <c r="O52" s="67"/>
      <c r="P52" s="67"/>
      <c r="Q52" s="67"/>
      <c r="R52"/>
    </row>
    <row r="53" spans="1:18" ht="17.25" customHeight="1" thickBot="1">
      <c r="A53" s="86" t="s">
        <v>75</v>
      </c>
      <c r="B53" s="35" t="s">
        <v>21</v>
      </c>
      <c r="C53" s="54"/>
      <c r="D53" s="34">
        <f t="shared" si="20"/>
        <v>47.725027442371022</v>
      </c>
      <c r="E53" s="88">
        <v>8.5699999999999998E-2</v>
      </c>
      <c r="G53" s="44"/>
      <c r="H53" s="13"/>
      <c r="I53" s="43"/>
      <c r="J53" s="64"/>
      <c r="K53" s="64"/>
      <c r="L53" s="64"/>
      <c r="M53" s="17"/>
      <c r="N53" s="64"/>
      <c r="O53" s="67"/>
      <c r="P53" s="67"/>
      <c r="Q53" s="67"/>
      <c r="R53"/>
    </row>
    <row r="54" spans="1:18" ht="17.25" customHeight="1" thickBot="1">
      <c r="A54" s="86" t="s">
        <v>76</v>
      </c>
      <c r="B54" s="35" t="s">
        <v>21</v>
      </c>
      <c r="C54" s="54"/>
      <c r="D54" s="34">
        <f t="shared" si="20"/>
        <v>48.109220636663011</v>
      </c>
      <c r="E54" s="88">
        <v>8.6400000000000005E-2</v>
      </c>
      <c r="G54" s="83"/>
      <c r="H54" s="13"/>
      <c r="I54" s="43"/>
      <c r="J54" s="64"/>
      <c r="K54" s="64"/>
      <c r="L54" s="64"/>
      <c r="M54" s="17"/>
      <c r="N54" s="64"/>
      <c r="O54" s="67"/>
      <c r="P54" s="67"/>
      <c r="Q54" s="67"/>
      <c r="R54"/>
    </row>
    <row r="55" spans="1:18" ht="19.5" customHeight="1">
      <c r="A55" s="32" t="s">
        <v>77</v>
      </c>
      <c r="B55" s="36" t="s">
        <v>21</v>
      </c>
      <c r="C55" s="36"/>
      <c r="D55" s="34">
        <f t="shared" si="20"/>
        <v>43.279363336992319</v>
      </c>
      <c r="E55" s="88">
        <v>7.7600000000000002E-2</v>
      </c>
      <c r="G55" s="83"/>
      <c r="H55" s="13"/>
      <c r="I55" s="43"/>
      <c r="J55" s="64"/>
      <c r="K55" s="64"/>
      <c r="L55" s="64"/>
      <c r="M55" s="17"/>
      <c r="N55" s="64"/>
      <c r="O55" s="67"/>
      <c r="P55" s="67"/>
      <c r="Q55" s="67"/>
      <c r="R55" s="79"/>
    </row>
    <row r="56" spans="1:18" ht="19.5" customHeight="1">
      <c r="A56" s="32" t="s">
        <v>78</v>
      </c>
      <c r="B56" s="34" t="s">
        <v>21</v>
      </c>
      <c r="C56" s="34"/>
      <c r="D56" s="34">
        <f t="shared" si="20"/>
        <v>42.291437980241497</v>
      </c>
      <c r="E56" s="87">
        <v>7.5800000000000006E-2</v>
      </c>
      <c r="G56" s="83"/>
      <c r="H56" s="13"/>
      <c r="I56" s="43"/>
      <c r="J56" s="64"/>
      <c r="K56" s="64"/>
      <c r="L56" s="64"/>
      <c r="M56" s="17"/>
      <c r="N56" s="64"/>
      <c r="O56" s="67"/>
      <c r="P56" s="67"/>
      <c r="Q56" s="67"/>
      <c r="R56"/>
    </row>
    <row r="57" spans="1:18" ht="20.25" customHeight="1" thickBot="1">
      <c r="A57" s="29" t="s">
        <v>79</v>
      </c>
      <c r="B57" s="35" t="s">
        <v>21</v>
      </c>
      <c r="C57" s="35"/>
      <c r="D57" s="34">
        <f t="shared" si="20"/>
        <v>43.059824368825474</v>
      </c>
      <c r="E57" s="87">
        <v>7.7200000000000005E-2</v>
      </c>
      <c r="G57" s="83"/>
      <c r="H57" s="13"/>
      <c r="I57" s="43"/>
      <c r="J57" s="64"/>
      <c r="K57" s="64"/>
      <c r="L57" s="64"/>
      <c r="M57" s="17"/>
      <c r="N57" s="64"/>
      <c r="O57" s="67"/>
      <c r="P57" s="67"/>
      <c r="Q57" s="67"/>
      <c r="R57"/>
    </row>
    <row r="58" spans="1:18" ht="20.25" customHeight="1" thickBot="1">
      <c r="A58" s="32" t="s">
        <v>80</v>
      </c>
      <c r="B58" s="35" t="s">
        <v>21</v>
      </c>
      <c r="C58" s="36"/>
      <c r="D58" s="34">
        <f t="shared" si="20"/>
        <v>42.565861690450063</v>
      </c>
      <c r="E58" s="88">
        <v>7.6300000000000007E-2</v>
      </c>
      <c r="G58" s="83"/>
      <c r="H58" s="13"/>
      <c r="I58" s="43"/>
      <c r="J58" s="64"/>
      <c r="K58" s="64"/>
      <c r="L58" s="64"/>
      <c r="M58" s="17"/>
      <c r="N58" s="64"/>
      <c r="O58" s="67"/>
      <c r="P58" s="67"/>
      <c r="Q58" s="67"/>
      <c r="R58"/>
    </row>
    <row r="59" spans="1:18" ht="20.25" customHeight="1" thickBot="1">
      <c r="A59" s="29" t="s">
        <v>81</v>
      </c>
      <c r="B59" s="35" t="s">
        <v>21</v>
      </c>
      <c r="C59" s="34"/>
      <c r="D59" s="34">
        <f t="shared" si="20"/>
        <v>42.785400658616908</v>
      </c>
      <c r="E59" s="87">
        <v>7.6700000000000004E-2</v>
      </c>
      <c r="G59" s="83"/>
      <c r="H59" s="40"/>
      <c r="I59" s="43"/>
      <c r="J59" s="64"/>
      <c r="K59" s="64"/>
      <c r="L59" s="64"/>
      <c r="M59" s="17"/>
      <c r="N59" s="64"/>
      <c r="O59" s="67"/>
      <c r="P59" s="67"/>
      <c r="Q59" s="67"/>
      <c r="R59"/>
    </row>
    <row r="60" spans="1:18" ht="20.25" customHeight="1" thickBot="1">
      <c r="A60" s="29" t="s">
        <v>82</v>
      </c>
      <c r="B60" s="35" t="s">
        <v>21</v>
      </c>
      <c r="C60" s="35"/>
      <c r="D60" s="34">
        <f t="shared" si="20"/>
        <v>42.840285400658615</v>
      </c>
      <c r="E60" s="87">
        <v>7.6799999999999993E-2</v>
      </c>
      <c r="G60" s="83"/>
      <c r="H60" s="13"/>
      <c r="I60" s="43"/>
      <c r="J60" s="64"/>
      <c r="K60" s="64"/>
      <c r="L60" s="64"/>
      <c r="M60" s="17"/>
      <c r="N60" s="64"/>
      <c r="O60" s="67"/>
      <c r="P60" s="67"/>
      <c r="Q60" s="67"/>
      <c r="R60"/>
    </row>
    <row r="61" spans="1:18" ht="19.5" customHeight="1">
      <c r="A61" s="29" t="s">
        <v>83</v>
      </c>
      <c r="B61" s="36" t="s">
        <v>21</v>
      </c>
      <c r="C61" s="36"/>
      <c r="D61" s="34">
        <f t="shared" si="20"/>
        <v>52.445115257958285</v>
      </c>
      <c r="E61" s="87">
        <v>9.4299999999999995E-2</v>
      </c>
      <c r="G61" s="83"/>
      <c r="H61" s="13"/>
      <c r="I61" s="43"/>
      <c r="J61" s="64"/>
      <c r="K61" s="64"/>
      <c r="L61" s="64"/>
      <c r="M61" s="17"/>
      <c r="N61" s="64"/>
      <c r="O61" s="67"/>
      <c r="P61" s="67"/>
      <c r="Q61" s="67"/>
      <c r="R61"/>
    </row>
    <row r="62" spans="1:18" ht="14.5" customHeight="1">
      <c r="A62" s="29" t="s">
        <v>84</v>
      </c>
      <c r="B62" s="34" t="s">
        <v>21</v>
      </c>
      <c r="C62" s="34"/>
      <c r="D62" s="34">
        <f t="shared" si="20"/>
        <v>52.280461031833156</v>
      </c>
      <c r="E62" s="87">
        <v>9.4E-2</v>
      </c>
      <c r="G62" s="84"/>
      <c r="H62" s="13"/>
      <c r="I62" s="43"/>
      <c r="J62" s="64"/>
      <c r="K62" s="64"/>
      <c r="L62" s="64"/>
      <c r="M62" s="17"/>
      <c r="N62" s="64"/>
      <c r="O62" s="67"/>
      <c r="P62" s="67"/>
      <c r="Q62" s="67"/>
      <c r="R62"/>
    </row>
    <row r="63" spans="1:18" ht="20.25" customHeight="1" thickBot="1">
      <c r="A63" s="29" t="s">
        <v>85</v>
      </c>
      <c r="B63" s="35" t="s">
        <v>21</v>
      </c>
      <c r="C63" s="35"/>
      <c r="D63" s="34">
        <f t="shared" si="20"/>
        <v>52.445115257958285</v>
      </c>
      <c r="E63" s="87">
        <v>9.4299999999999995E-2</v>
      </c>
      <c r="G63" s="84"/>
      <c r="H63" s="13"/>
      <c r="I63" s="43"/>
      <c r="J63" s="64"/>
      <c r="K63" s="64"/>
      <c r="L63" s="64"/>
      <c r="M63" s="17"/>
      <c r="N63" s="64"/>
      <c r="O63" s="67"/>
      <c r="P63" s="67"/>
      <c r="Q63" s="67"/>
      <c r="R63" s="79"/>
    </row>
    <row r="64" spans="1:18" ht="19.5" customHeight="1">
      <c r="A64" s="29" t="s">
        <v>86</v>
      </c>
      <c r="B64" s="36" t="s">
        <v>21</v>
      </c>
      <c r="C64" s="36"/>
      <c r="D64" s="34">
        <f t="shared" si="20"/>
        <v>52.554884742041715</v>
      </c>
      <c r="E64" s="87">
        <v>9.4500000000000001E-2</v>
      </c>
      <c r="G64" s="81"/>
      <c r="H64" s="13"/>
      <c r="I64" s="43"/>
      <c r="J64" s="64"/>
      <c r="K64" s="64"/>
      <c r="L64" s="64"/>
      <c r="M64" s="17"/>
      <c r="N64" s="64"/>
      <c r="O64" s="67"/>
      <c r="P64" s="67"/>
      <c r="Q64" s="67"/>
      <c r="R64"/>
    </row>
    <row r="65" spans="1:18" ht="14.5" customHeight="1">
      <c r="A65" s="29" t="s">
        <v>87</v>
      </c>
      <c r="B65" s="34" t="s">
        <v>21</v>
      </c>
      <c r="C65" s="34"/>
      <c r="D65" s="34">
        <f t="shared" si="20"/>
        <v>52.884193194291989</v>
      </c>
      <c r="E65" s="87">
        <v>9.5100000000000004E-2</v>
      </c>
      <c r="G65" s="81"/>
      <c r="H65" s="13"/>
      <c r="I65" s="43"/>
      <c r="J65" s="64"/>
      <c r="K65" s="64"/>
      <c r="L65" s="64"/>
      <c r="M65" s="17"/>
      <c r="N65" s="64"/>
      <c r="O65" s="67"/>
      <c r="P65" s="67"/>
      <c r="Q65" s="67"/>
      <c r="R65"/>
    </row>
    <row r="66" spans="1:18" ht="20.25" customHeight="1" thickBot="1">
      <c r="A66" s="29" t="s">
        <v>88</v>
      </c>
      <c r="B66" s="35" t="s">
        <v>21</v>
      </c>
      <c r="C66" s="35"/>
      <c r="D66" s="34">
        <f t="shared" si="20"/>
        <v>52.280461031833156</v>
      </c>
      <c r="E66" s="87">
        <v>9.4E-2</v>
      </c>
      <c r="G66" s="81"/>
      <c r="H66" s="13"/>
      <c r="I66" s="43"/>
      <c r="J66" s="64"/>
      <c r="K66" s="64"/>
      <c r="L66" s="64"/>
      <c r="M66" s="17"/>
      <c r="N66" s="64"/>
      <c r="O66" s="67"/>
      <c r="P66" s="67"/>
      <c r="Q66" s="67"/>
      <c r="R66"/>
    </row>
    <row r="67" spans="1:18" ht="19.5" customHeight="1">
      <c r="A67" s="29" t="s">
        <v>89</v>
      </c>
      <c r="B67" s="36" t="s">
        <v>21</v>
      </c>
      <c r="C67" s="36"/>
      <c r="D67" s="34">
        <f t="shared" si="20"/>
        <v>48.548298572996707</v>
      </c>
      <c r="E67" s="87">
        <v>8.72E-2</v>
      </c>
      <c r="G67" s="81"/>
      <c r="H67" s="13"/>
      <c r="I67" s="43"/>
      <c r="J67" s="64"/>
      <c r="K67" s="64"/>
      <c r="L67" s="64"/>
      <c r="M67" s="17"/>
      <c r="N67" s="64"/>
      <c r="O67" s="67"/>
      <c r="P67" s="67"/>
      <c r="Q67" s="67"/>
      <c r="R67"/>
    </row>
    <row r="68" spans="1:18" ht="19.5" customHeight="1">
      <c r="A68" s="29" t="s">
        <v>90</v>
      </c>
      <c r="B68" s="34" t="s">
        <v>21</v>
      </c>
      <c r="C68" s="34"/>
      <c r="D68" s="34">
        <f t="shared" si="20"/>
        <v>48.164105378704718</v>
      </c>
      <c r="E68" s="87">
        <v>8.6499999999999994E-2</v>
      </c>
      <c r="G68" s="81"/>
      <c r="H68" s="13"/>
      <c r="I68" s="43"/>
      <c r="J68" s="64"/>
      <c r="K68" s="64"/>
      <c r="L68" s="64"/>
      <c r="M68" s="17"/>
      <c r="N68" s="64"/>
      <c r="O68" s="67"/>
      <c r="P68" s="67"/>
      <c r="Q68" s="67"/>
      <c r="R68"/>
    </row>
    <row r="69" spans="1:18" ht="20.25" customHeight="1" thickBot="1">
      <c r="A69" s="29" t="s">
        <v>91</v>
      </c>
      <c r="B69" s="35" t="s">
        <v>21</v>
      </c>
      <c r="C69" s="35"/>
      <c r="D69" s="34">
        <f t="shared" si="20"/>
        <v>48.164105378704718</v>
      </c>
      <c r="E69" s="87">
        <v>8.6499999999999994E-2</v>
      </c>
      <c r="G69" s="81"/>
      <c r="H69" s="13"/>
      <c r="I69" s="43"/>
      <c r="J69" s="64"/>
      <c r="K69" s="64"/>
      <c r="L69" s="64"/>
      <c r="M69" s="17"/>
      <c r="N69" s="64"/>
      <c r="O69" s="67"/>
      <c r="P69" s="67"/>
      <c r="Q69" s="67"/>
      <c r="R69"/>
    </row>
    <row r="70" spans="1:18" ht="19.5" customHeight="1">
      <c r="A70" s="29" t="s">
        <v>92</v>
      </c>
      <c r="B70" s="36" t="s">
        <v>21</v>
      </c>
      <c r="C70" s="36"/>
      <c r="D70" s="34">
        <f t="shared" si="20"/>
        <v>48.493413830954992</v>
      </c>
      <c r="E70" s="87">
        <v>8.7099999999999997E-2</v>
      </c>
      <c r="G70" s="82"/>
      <c r="H70" s="13"/>
      <c r="I70" s="43"/>
      <c r="J70" s="64"/>
      <c r="K70" s="64"/>
      <c r="L70" s="64"/>
      <c r="M70" s="17"/>
      <c r="N70" s="64"/>
      <c r="O70" s="67"/>
      <c r="P70" s="67"/>
      <c r="Q70" s="67"/>
      <c r="R70"/>
    </row>
    <row r="71" spans="1:18" ht="19.5" customHeight="1">
      <c r="A71" s="29" t="s">
        <v>93</v>
      </c>
      <c r="B71" s="34" t="s">
        <v>21</v>
      </c>
      <c r="C71" s="34"/>
      <c r="D71" s="34">
        <f t="shared" si="20"/>
        <v>48.493413830954992</v>
      </c>
      <c r="E71" s="87">
        <v>8.7099999999999997E-2</v>
      </c>
      <c r="G71" s="82"/>
      <c r="H71" s="13"/>
      <c r="I71" s="43"/>
      <c r="J71" s="64"/>
      <c r="K71" s="64"/>
      <c r="L71" s="64"/>
      <c r="M71" s="17"/>
      <c r="N71" s="64"/>
      <c r="O71" s="67"/>
      <c r="P71" s="67"/>
      <c r="Q71" s="67"/>
      <c r="R71" s="79"/>
    </row>
    <row r="72" spans="1:18" ht="20.25" customHeight="1" thickBot="1">
      <c r="A72" s="29" t="s">
        <v>94</v>
      </c>
      <c r="B72" s="35" t="s">
        <v>21</v>
      </c>
      <c r="C72" s="35"/>
      <c r="D72" s="34">
        <f t="shared" si="20"/>
        <v>48.548298572996707</v>
      </c>
      <c r="E72" s="87">
        <v>8.72E-2</v>
      </c>
      <c r="G72" s="82"/>
      <c r="H72" s="13"/>
      <c r="I72" s="43"/>
      <c r="J72" s="64"/>
      <c r="K72" s="64"/>
      <c r="L72" s="64"/>
      <c r="M72" s="17"/>
      <c r="N72" s="64"/>
      <c r="O72" s="67"/>
      <c r="P72" s="67"/>
      <c r="Q72" s="67"/>
      <c r="R72"/>
    </row>
    <row r="73" spans="1:18">
      <c r="A73" s="53"/>
      <c r="B73" s="36"/>
      <c r="C73" s="36"/>
      <c r="D73" s="36"/>
      <c r="G73" s="82"/>
      <c r="H73" s="13"/>
      <c r="I73" s="43"/>
      <c r="J73" s="64"/>
      <c r="K73" s="64"/>
      <c r="L73" s="64"/>
      <c r="M73" s="17"/>
      <c r="N73" s="64"/>
      <c r="O73" s="67"/>
      <c r="P73" s="67"/>
      <c r="Q73" s="67"/>
      <c r="R73"/>
    </row>
    <row r="74" spans="1:18">
      <c r="A74" s="50"/>
      <c r="B74" s="34"/>
      <c r="C74" s="34"/>
      <c r="D74" s="34"/>
      <c r="G74" s="82"/>
      <c r="H74" s="13"/>
      <c r="I74" s="77"/>
      <c r="J74" s="64"/>
      <c r="K74" s="64"/>
      <c r="L74" s="64"/>
      <c r="M74" s="17"/>
      <c r="N74" s="64"/>
      <c r="O74" s="67"/>
      <c r="P74" s="67"/>
      <c r="Q74" s="67"/>
      <c r="R74"/>
    </row>
    <row r="75" spans="1:18">
      <c r="A75" s="50"/>
      <c r="B75" s="34"/>
      <c r="C75" s="34"/>
      <c r="D75" s="34"/>
      <c r="G75" s="82"/>
      <c r="H75" s="13"/>
      <c r="I75" s="2"/>
      <c r="J75" s="64"/>
      <c r="K75" s="64"/>
      <c r="L75" s="64"/>
      <c r="M75" s="17"/>
      <c r="N75" s="64"/>
      <c r="O75" s="67"/>
      <c r="P75" s="67"/>
      <c r="Q75" s="67"/>
      <c r="R75"/>
    </row>
    <row r="76" spans="1:18">
      <c r="A76" s="50"/>
      <c r="B76" s="34"/>
      <c r="C76" s="34"/>
      <c r="D76" s="34"/>
      <c r="G76" s="82"/>
      <c r="H76" s="13"/>
      <c r="I76" s="77"/>
      <c r="J76" s="64"/>
      <c r="K76" s="64"/>
      <c r="L76" s="64"/>
      <c r="M76" s="17"/>
      <c r="N76" s="64"/>
      <c r="O76" s="67"/>
      <c r="P76" s="67"/>
      <c r="Q76" s="67"/>
      <c r="R76"/>
    </row>
    <row r="77" spans="1:18">
      <c r="A77" s="50"/>
      <c r="B77" s="34"/>
      <c r="C77" s="34"/>
      <c r="D77" s="34"/>
      <c r="G77" s="82"/>
      <c r="H77" s="13"/>
      <c r="I77" s="77"/>
      <c r="J77" s="64"/>
      <c r="K77" s="64"/>
      <c r="L77" s="64"/>
      <c r="M77" s="17"/>
      <c r="N77" s="64"/>
      <c r="O77" s="67"/>
      <c r="P77" s="67"/>
      <c r="Q77" s="67"/>
      <c r="R77"/>
    </row>
    <row r="78" spans="1:18">
      <c r="A78" s="50"/>
      <c r="B78" s="34"/>
      <c r="C78" s="34"/>
      <c r="D78" s="34"/>
      <c r="G78" s="40"/>
      <c r="H78" s="41"/>
      <c r="I78" s="41"/>
      <c r="J78" s="41"/>
      <c r="K78" s="41"/>
      <c r="L78"/>
      <c r="M78" s="17"/>
      <c r="N78" s="64"/>
      <c r="O78" s="67"/>
      <c r="P78" s="67"/>
    </row>
    <row r="79" spans="1:18">
      <c r="A79" s="40"/>
      <c r="B79" s="41"/>
      <c r="C79" s="41"/>
      <c r="D79" s="41"/>
      <c r="E79" s="49"/>
      <c r="G79" s="40"/>
      <c r="H79" s="41"/>
      <c r="I79" s="41"/>
      <c r="J79" s="41"/>
      <c r="K79" s="41"/>
    </row>
    <row r="80" spans="1:18">
      <c r="A80" s="40"/>
      <c r="B80" s="41"/>
      <c r="C80" s="41"/>
      <c r="D80" s="41"/>
      <c r="E80" s="41"/>
      <c r="G80" s="40"/>
      <c r="H80" s="41"/>
      <c r="I80" s="41"/>
      <c r="J80" s="41"/>
      <c r="K80" s="41"/>
    </row>
    <row r="81" spans="1:11">
      <c r="A81" s="40"/>
      <c r="B81" s="41"/>
      <c r="C81" s="41"/>
      <c r="D81" s="41"/>
      <c r="E81" s="41"/>
      <c r="G81" s="40"/>
      <c r="H81" s="41"/>
      <c r="I81" s="41"/>
      <c r="J81" s="41"/>
      <c r="K81" s="41"/>
    </row>
    <row r="82" spans="1:11">
      <c r="A82" s="40"/>
      <c r="B82" s="41"/>
      <c r="C82" s="41"/>
      <c r="D82" s="41"/>
      <c r="E82" s="41"/>
      <c r="G82" s="40"/>
      <c r="H82" s="41"/>
      <c r="I82" s="41"/>
      <c r="J82" s="41"/>
      <c r="K82" s="41"/>
    </row>
    <row r="83" spans="1:11">
      <c r="A83" s="40"/>
      <c r="B83" s="41"/>
      <c r="C83" s="41"/>
      <c r="D83" s="41"/>
      <c r="E83" s="41"/>
      <c r="G83" s="40"/>
      <c r="H83" s="41"/>
      <c r="I83" s="41"/>
      <c r="J83" s="41"/>
      <c r="K83" s="41"/>
    </row>
    <row r="84" spans="1:11">
      <c r="A84" s="40"/>
      <c r="B84" s="41"/>
      <c r="C84" s="41"/>
      <c r="D84" s="41"/>
      <c r="E84" s="41"/>
      <c r="G84" s="40"/>
      <c r="H84" s="41"/>
      <c r="I84" s="41"/>
      <c r="J84" s="41"/>
      <c r="K84" s="41"/>
    </row>
    <row r="85" spans="1:11">
      <c r="A85" s="40"/>
      <c r="B85" s="41"/>
      <c r="C85" s="41"/>
      <c r="D85" s="41"/>
      <c r="E85" s="41"/>
      <c r="G85" s="40"/>
      <c r="H85" s="41"/>
      <c r="I85" s="41"/>
      <c r="J85" s="41"/>
      <c r="K85" s="41"/>
    </row>
    <row r="86" spans="1:11">
      <c r="A86" s="40"/>
      <c r="B86" s="41"/>
      <c r="C86" s="41"/>
      <c r="D86" s="41"/>
      <c r="E86" s="41"/>
      <c r="G86" s="40"/>
      <c r="H86" s="41"/>
      <c r="I86" s="41"/>
      <c r="J86" s="41"/>
      <c r="K86" s="41"/>
    </row>
    <row r="87" spans="1:11">
      <c r="G87" s="40"/>
      <c r="H87" s="41"/>
      <c r="I87" s="41"/>
      <c r="J87" s="41"/>
      <c r="K87" s="41"/>
    </row>
    <row r="88" spans="1:11">
      <c r="G88" s="40"/>
      <c r="H88" s="41"/>
      <c r="I88" s="41"/>
      <c r="J88" s="41"/>
      <c r="K88" s="41"/>
    </row>
    <row r="89" spans="1:11">
      <c r="G89" s="40"/>
      <c r="H89" s="41"/>
      <c r="I89" s="41"/>
      <c r="J89" s="41"/>
      <c r="K89" s="41"/>
    </row>
    <row r="90" spans="1:11">
      <c r="G90" s="40"/>
      <c r="H90" s="41"/>
      <c r="I90" s="41"/>
      <c r="J90" s="41"/>
      <c r="K90" s="41"/>
    </row>
    <row r="91" spans="1:11">
      <c r="G91" s="40"/>
      <c r="H91" s="41"/>
      <c r="I91" s="41"/>
      <c r="J91" s="41"/>
      <c r="K91" s="41"/>
    </row>
    <row r="92" spans="1:11">
      <c r="G92" s="40"/>
      <c r="H92" s="41"/>
      <c r="I92" s="41"/>
      <c r="J92" s="41"/>
      <c r="K92" s="41"/>
    </row>
    <row r="93" spans="1:11">
      <c r="G93" s="40"/>
      <c r="H93" s="41"/>
      <c r="I93" s="41"/>
      <c r="J93" s="41"/>
      <c r="K93" s="41"/>
    </row>
    <row r="94" spans="1:11">
      <c r="G94" s="40"/>
      <c r="H94" s="41"/>
      <c r="I94" s="41"/>
      <c r="J94" s="41"/>
      <c r="K94" s="41"/>
    </row>
    <row r="95" spans="1:11">
      <c r="G95" s="40"/>
      <c r="H95" s="41"/>
      <c r="I95" s="41"/>
      <c r="J95" s="41"/>
      <c r="K95" s="41"/>
    </row>
    <row r="96" spans="1:11">
      <c r="G96" s="40"/>
      <c r="H96" s="41"/>
      <c r="I96" s="41"/>
      <c r="J96" s="41"/>
      <c r="K96" s="41"/>
    </row>
    <row r="97" spans="7:11">
      <c r="G97" s="40"/>
      <c r="H97" s="41"/>
      <c r="I97" s="41"/>
      <c r="J97" s="41"/>
      <c r="K97" s="41"/>
    </row>
    <row r="98" spans="7:11">
      <c r="G98" s="40"/>
      <c r="H98" s="41"/>
      <c r="I98" s="41"/>
      <c r="J98" s="41"/>
      <c r="K98" s="41"/>
    </row>
    <row r="99" spans="7:11">
      <c r="G99" s="40"/>
      <c r="H99" s="41"/>
      <c r="I99" s="41"/>
      <c r="J99" s="41"/>
      <c r="K99" s="41"/>
    </row>
    <row r="100" spans="7:11">
      <c r="G100" s="40"/>
      <c r="H100" s="41"/>
      <c r="I100" s="41"/>
      <c r="J100" s="41"/>
      <c r="K100" s="41"/>
    </row>
    <row r="101" spans="7:11">
      <c r="G101" s="40"/>
      <c r="H101" s="41"/>
      <c r="I101" s="41"/>
      <c r="J101" s="41"/>
      <c r="K101" s="41"/>
    </row>
    <row r="102" spans="7:11">
      <c r="G102" s="40"/>
      <c r="H102" s="41"/>
      <c r="I102" s="41"/>
      <c r="J102" s="41"/>
      <c r="K102" s="41"/>
    </row>
    <row r="103" spans="7:11">
      <c r="G103" s="40"/>
      <c r="H103" s="41"/>
      <c r="I103" s="41"/>
      <c r="J103" s="41"/>
      <c r="K103" s="41"/>
    </row>
    <row r="104" spans="7:11">
      <c r="G104" s="40"/>
      <c r="H104" s="41"/>
      <c r="I104" s="41"/>
      <c r="J104" s="41"/>
      <c r="K104" s="41"/>
    </row>
    <row r="105" spans="7:11">
      <c r="G105" s="40"/>
      <c r="H105" s="41"/>
      <c r="I105" s="41"/>
      <c r="J105" s="41"/>
      <c r="K105" s="41"/>
    </row>
    <row r="106" spans="7:11">
      <c r="G106" s="40"/>
      <c r="H106" s="41"/>
      <c r="I106" s="41"/>
      <c r="J106" s="41"/>
      <c r="K106" s="41"/>
    </row>
    <row r="107" spans="7:11">
      <c r="G107" s="40"/>
      <c r="H107" s="41"/>
      <c r="I107" s="41"/>
      <c r="J107" s="41"/>
      <c r="K107" s="41"/>
    </row>
    <row r="108" spans="7:11">
      <c r="G108" s="40"/>
      <c r="H108" s="41"/>
      <c r="I108" s="41"/>
      <c r="J108" s="41"/>
      <c r="K108" s="41"/>
    </row>
    <row r="109" spans="7:11">
      <c r="G109" s="40"/>
      <c r="H109" s="41"/>
      <c r="I109" s="41"/>
      <c r="J109" s="41"/>
      <c r="K109" s="41"/>
    </row>
    <row r="110" spans="7:11">
      <c r="G110" s="40"/>
      <c r="H110" s="41"/>
      <c r="I110" s="41"/>
      <c r="J110" s="41"/>
      <c r="K110" s="41"/>
    </row>
    <row r="111" spans="7:11">
      <c r="G111" s="40"/>
      <c r="H111" s="41"/>
      <c r="I111" s="41"/>
      <c r="J111" s="41"/>
      <c r="K111" s="41"/>
    </row>
    <row r="112" spans="7:11">
      <c r="G112" s="40"/>
      <c r="H112" s="41"/>
      <c r="I112" s="41"/>
      <c r="J112" s="41"/>
      <c r="K112" s="41"/>
    </row>
    <row r="113" spans="7:11">
      <c r="G113" s="40"/>
      <c r="H113" s="41"/>
      <c r="I113" s="41"/>
      <c r="J113" s="41"/>
      <c r="K113" s="41"/>
    </row>
    <row r="114" spans="7:11">
      <c r="G114" s="40"/>
      <c r="H114" s="41"/>
      <c r="I114" s="41"/>
      <c r="J114" s="41"/>
      <c r="K114" s="41"/>
    </row>
    <row r="115" spans="7:11">
      <c r="G115" s="40"/>
      <c r="H115" s="41"/>
      <c r="I115" s="41"/>
      <c r="J115" s="41"/>
      <c r="K115" s="41"/>
    </row>
    <row r="116" spans="7:11">
      <c r="G116" s="40"/>
      <c r="H116" s="41"/>
      <c r="I116" s="41"/>
      <c r="J116" s="41"/>
      <c r="K116" s="41"/>
    </row>
    <row r="117" spans="7:11">
      <c r="G117" s="40"/>
      <c r="H117" s="41"/>
      <c r="I117" s="41"/>
      <c r="J117" s="41"/>
      <c r="K117" s="41"/>
    </row>
  </sheetData>
  <mergeCells count="10">
    <mergeCell ref="C1:F1"/>
    <mergeCell ref="G24:G29"/>
    <mergeCell ref="G40:G45"/>
    <mergeCell ref="I17:L18"/>
    <mergeCell ref="G32:G37"/>
    <mergeCell ref="G38:G39"/>
    <mergeCell ref="M18:P18"/>
    <mergeCell ref="G22:G23"/>
    <mergeCell ref="G30:G31"/>
    <mergeCell ref="M17:P17"/>
  </mergeCells>
  <phoneticPr fontId="1" type="noConversion"/>
  <pageMargins left="0.7" right="0.7" top="0.75" bottom="0.75" header="0.3" footer="0.3"/>
  <pageSetup paperSize="9" scale="63" orientation="landscape"/>
  <rowBreaks count="1" manualBreakCount="1">
    <brk id="45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2:X30"/>
  <sheetViews>
    <sheetView zoomScale="70" zoomScaleNormal="70" workbookViewId="0">
      <selection activeCell="P40" sqref="P40"/>
    </sheetView>
  </sheetViews>
  <sheetFormatPr defaultRowHeight="17.600000000000001"/>
  <cols>
    <col min="1" max="1" width="6" style="110" customWidth="1"/>
    <col min="2" max="2" width="15.85546875" style="110" customWidth="1"/>
    <col min="3" max="3" width="12.2109375" style="110" customWidth="1"/>
    <col min="4" max="4" width="10.640625" style="110" customWidth="1"/>
    <col min="5" max="7" width="10.640625" style="13" customWidth="1"/>
    <col min="8" max="12" width="10.640625" style="110" customWidth="1"/>
    <col min="13" max="13" width="3.5" style="110" customWidth="1"/>
    <col min="14" max="14" width="16.2109375" style="110" customWidth="1"/>
    <col min="15" max="15" width="14.2109375" style="110" customWidth="1"/>
    <col min="16" max="16" width="10.640625" style="110" customWidth="1"/>
    <col min="17" max="19" width="10.640625" style="13" customWidth="1"/>
    <col min="20" max="24" width="10.640625" style="110" customWidth="1"/>
  </cols>
  <sheetData>
    <row r="2" spans="2:24">
      <c r="B2" s="134" t="s">
        <v>142</v>
      </c>
      <c r="C2" s="52"/>
      <c r="D2" s="128" t="s">
        <v>17</v>
      </c>
      <c r="E2" s="129"/>
      <c r="F2" s="129"/>
      <c r="G2" s="129"/>
      <c r="H2" s="114" t="s">
        <v>130</v>
      </c>
      <c r="I2" s="115"/>
      <c r="J2" s="115"/>
      <c r="K2" s="115"/>
      <c r="L2" s="115"/>
      <c r="N2" s="134" t="s">
        <v>143</v>
      </c>
      <c r="O2" s="52"/>
      <c r="P2" s="128" t="s">
        <v>17</v>
      </c>
      <c r="Q2" s="129"/>
      <c r="R2" s="129"/>
      <c r="S2" s="129"/>
      <c r="T2" s="114" t="s">
        <v>18</v>
      </c>
      <c r="U2" s="115"/>
      <c r="V2" s="115"/>
      <c r="W2" s="115"/>
      <c r="X2" s="115"/>
    </row>
    <row r="3" spans="2:24">
      <c r="B3" s="119"/>
      <c r="C3" s="52"/>
      <c r="D3" s="119"/>
      <c r="E3" s="119"/>
      <c r="F3" s="119"/>
      <c r="G3" s="119"/>
      <c r="H3" s="118" t="s">
        <v>19</v>
      </c>
      <c r="I3" s="119"/>
      <c r="J3" s="119"/>
      <c r="K3" s="119"/>
      <c r="L3" s="119"/>
      <c r="N3" s="119"/>
      <c r="O3" s="52"/>
      <c r="P3" s="119"/>
      <c r="Q3" s="119"/>
      <c r="R3" s="119"/>
      <c r="S3" s="119"/>
      <c r="T3" s="118" t="s">
        <v>19</v>
      </c>
      <c r="U3" s="119"/>
      <c r="V3" s="119"/>
      <c r="W3" s="119"/>
      <c r="X3" s="119"/>
    </row>
    <row r="4" spans="2:24">
      <c r="B4" s="3"/>
      <c r="C4" s="4"/>
      <c r="D4" s="5" t="s">
        <v>22</v>
      </c>
      <c r="E4" s="92" t="s">
        <v>23</v>
      </c>
      <c r="F4" s="60" t="s">
        <v>24</v>
      </c>
      <c r="G4" s="58" t="s">
        <v>25</v>
      </c>
      <c r="H4" s="57" t="s">
        <v>26</v>
      </c>
      <c r="I4" s="63" t="s">
        <v>27</v>
      </c>
      <c r="J4" s="60" t="s">
        <v>28</v>
      </c>
      <c r="K4" s="58" t="s">
        <v>144</v>
      </c>
      <c r="L4" s="98" t="s">
        <v>145</v>
      </c>
      <c r="M4" s="103"/>
      <c r="N4" s="3"/>
      <c r="O4" s="4"/>
      <c r="P4" s="5" t="s">
        <v>22</v>
      </c>
      <c r="Q4" s="92" t="s">
        <v>23</v>
      </c>
      <c r="R4" s="60" t="s">
        <v>24</v>
      </c>
      <c r="S4" s="58" t="s">
        <v>25</v>
      </c>
      <c r="T4" s="57" t="s">
        <v>26</v>
      </c>
      <c r="U4" s="63" t="s">
        <v>27</v>
      </c>
      <c r="V4" s="60" t="s">
        <v>28</v>
      </c>
      <c r="W4" s="58" t="s">
        <v>144</v>
      </c>
      <c r="X4" s="98" t="s">
        <v>145</v>
      </c>
    </row>
    <row r="5" spans="2:24">
      <c r="B5" s="25" t="s">
        <v>31</v>
      </c>
      <c r="C5" s="23" t="s">
        <v>133</v>
      </c>
      <c r="D5" s="27">
        <v>154.6</v>
      </c>
      <c r="E5" s="93">
        <v>154.4512933406715</v>
      </c>
      <c r="F5" s="67">
        <v>154.4512933406715</v>
      </c>
      <c r="G5" s="70">
        <v>155.662080352229</v>
      </c>
      <c r="H5" s="21">
        <f>AVERAGE(E5:G5)</f>
        <v>154.85488901119066</v>
      </c>
      <c r="I5" s="64">
        <f>STDEV(E5:G5)</f>
        <v>0.69904820705402493</v>
      </c>
      <c r="J5" s="67">
        <f>I5/H5*100</f>
        <v>0.45142146400266886</v>
      </c>
      <c r="K5" s="70">
        <f>(H5-D5)/D5*100</f>
        <v>0.16486999430185648</v>
      </c>
      <c r="L5" s="99"/>
      <c r="M5" s="97"/>
      <c r="N5" s="25" t="s">
        <v>31</v>
      </c>
      <c r="O5" s="23" t="s">
        <v>32</v>
      </c>
      <c r="P5" s="20">
        <v>244.8</v>
      </c>
      <c r="Q5" s="93">
        <v>244.9259055982437</v>
      </c>
      <c r="R5" s="67">
        <v>245.85894621295279</v>
      </c>
      <c r="S5" s="70">
        <v>245.80406147091111</v>
      </c>
      <c r="T5" s="21">
        <f>AVERAGE(Q5:S5)</f>
        <v>245.52963776070251</v>
      </c>
      <c r="U5" s="64">
        <f>STDEV(Q5:S5)</f>
        <v>0.52356706993245605</v>
      </c>
      <c r="V5" s="67">
        <f>U5/T5*100</f>
        <v>0.21323986574799317</v>
      </c>
      <c r="W5" s="70">
        <f>(T5-P5)/P5*100</f>
        <v>0.29805464080984567</v>
      </c>
      <c r="X5" s="107"/>
    </row>
    <row r="6" spans="2:24">
      <c r="B6" s="26"/>
      <c r="C6" s="24"/>
      <c r="D6" s="28"/>
      <c r="E6" s="94"/>
      <c r="F6" s="68"/>
      <c r="G6" s="71"/>
      <c r="H6" s="22"/>
      <c r="I6" s="65"/>
      <c r="J6" s="68"/>
      <c r="K6" s="71"/>
      <c r="L6" s="100"/>
      <c r="N6" s="26"/>
      <c r="O6" s="24"/>
      <c r="P6" s="28"/>
      <c r="Q6" s="94"/>
      <c r="R6" s="68"/>
      <c r="S6" s="71"/>
      <c r="T6" s="22"/>
      <c r="U6" s="65"/>
      <c r="V6" s="68"/>
      <c r="W6" s="71"/>
      <c r="X6" s="108"/>
    </row>
    <row r="7" spans="2:24">
      <c r="B7" s="125" t="s">
        <v>34</v>
      </c>
      <c r="C7" s="23" t="s">
        <v>35</v>
      </c>
      <c r="D7" s="55">
        <v>169.55748014573379</v>
      </c>
      <c r="E7" s="95">
        <v>168.7605943863511</v>
      </c>
      <c r="F7" s="69">
        <v>171.01706108970831</v>
      </c>
      <c r="G7" s="72">
        <v>170.6868464501926</v>
      </c>
      <c r="H7" s="20">
        <f t="shared" ref="H7:H30" si="0">AVERAGE(E7:G7)</f>
        <v>170.15483397541735</v>
      </c>
      <c r="I7" s="66">
        <f t="shared" ref="I7:I30" si="1">STDEV(E7:G7)</f>
        <v>1.2186830805534763</v>
      </c>
      <c r="J7" s="69">
        <f t="shared" ref="J7:J30" si="2">I7/H7*100</f>
        <v>0.71622007561039513</v>
      </c>
      <c r="K7" s="72">
        <f t="shared" ref="K7:K30" si="3">(H7-D7)/D7*100</f>
        <v>0.35230166735795621</v>
      </c>
      <c r="L7" s="104">
        <f>H7-D7</f>
        <v>0.59735382968355566</v>
      </c>
      <c r="M7" s="96"/>
      <c r="N7" s="127" t="s">
        <v>34</v>
      </c>
      <c r="O7" s="23" t="s">
        <v>35</v>
      </c>
      <c r="P7" s="55">
        <v>169.55748014573379</v>
      </c>
      <c r="Q7" s="95">
        <v>170.11800219538969</v>
      </c>
      <c r="R7" s="69">
        <v>171.92919868276621</v>
      </c>
      <c r="S7" s="72">
        <v>170.77661909989021</v>
      </c>
      <c r="T7" s="20">
        <f>AVERAGE(Q7:S7)</f>
        <v>170.94127332601536</v>
      </c>
      <c r="U7" s="66">
        <f>STDEV(Q7:S7)</f>
        <v>0.91675593240890352</v>
      </c>
      <c r="V7" s="69">
        <f>U7/T7*100</f>
        <v>0.5362987618914522</v>
      </c>
      <c r="W7" s="72">
        <f>(T7-P7)/P7*100</f>
        <v>0.81612039710203788</v>
      </c>
      <c r="X7" s="72">
        <f>T7-P7</f>
        <v>1.3837931802815717</v>
      </c>
    </row>
    <row r="8" spans="2:24">
      <c r="B8" s="126"/>
      <c r="C8" s="24" t="s">
        <v>135</v>
      </c>
      <c r="D8" s="19">
        <v>196.2</v>
      </c>
      <c r="E8" s="94">
        <v>198.75509080902589</v>
      </c>
      <c r="F8" s="68">
        <v>198.75509080902589</v>
      </c>
      <c r="G8" s="71">
        <v>198.53494771601541</v>
      </c>
      <c r="H8" s="22">
        <f t="shared" si="0"/>
        <v>198.68170977802239</v>
      </c>
      <c r="I8" s="65">
        <f t="shared" si="1"/>
        <v>0.12709967400983613</v>
      </c>
      <c r="J8" s="68">
        <f t="shared" si="2"/>
        <v>6.3971502032994648E-2</v>
      </c>
      <c r="K8" s="71">
        <f t="shared" si="3"/>
        <v>1.2648877563824701</v>
      </c>
      <c r="L8" s="105">
        <f>H8-D8</f>
        <v>2.481709778022406</v>
      </c>
      <c r="M8" s="96"/>
      <c r="N8" s="117"/>
      <c r="O8" s="24"/>
      <c r="P8" s="19"/>
      <c r="Q8" s="94"/>
      <c r="R8" s="68"/>
      <c r="S8" s="71"/>
      <c r="T8" s="22"/>
      <c r="U8" s="65"/>
      <c r="V8" s="68"/>
      <c r="W8" s="71"/>
      <c r="X8" s="108"/>
    </row>
    <row r="9" spans="2:24">
      <c r="B9" s="120" t="s">
        <v>36</v>
      </c>
      <c r="C9" s="75" t="s">
        <v>37</v>
      </c>
      <c r="D9" s="18"/>
      <c r="E9" s="95">
        <v>159.6796917996698</v>
      </c>
      <c r="F9" s="69">
        <v>160.17501375894329</v>
      </c>
      <c r="G9" s="72">
        <v>159.40451293340669</v>
      </c>
      <c r="H9" s="21">
        <f t="shared" si="0"/>
        <v>159.75307283067326</v>
      </c>
      <c r="I9" s="64">
        <f t="shared" si="1"/>
        <v>0.39045673553096055</v>
      </c>
      <c r="J9" s="67">
        <f t="shared" si="2"/>
        <v>0.24441266049687604</v>
      </c>
      <c r="K9" s="70" t="e">
        <f t="shared" si="3"/>
        <v>#DIV/0!</v>
      </c>
      <c r="L9" s="106"/>
      <c r="M9" s="96"/>
      <c r="N9" s="122" t="s">
        <v>36</v>
      </c>
      <c r="O9" s="75" t="s">
        <v>37</v>
      </c>
      <c r="P9" s="18"/>
      <c r="Q9" s="93">
        <v>160.4034028540066</v>
      </c>
      <c r="R9" s="67">
        <v>160.7327113062569</v>
      </c>
      <c r="S9" s="70">
        <v>160.56805708013169</v>
      </c>
      <c r="T9" s="21">
        <f t="shared" ref="T9:T15" si="4">AVERAGE(Q9:S9)</f>
        <v>160.56805708013175</v>
      </c>
      <c r="U9" s="64">
        <f t="shared" ref="U9:U15" si="5">STDEV(Q9:S9)</f>
        <v>0.16465422612515113</v>
      </c>
      <c r="V9" s="67">
        <f t="shared" ref="V9:V15" si="6">U9/T9*100</f>
        <v>0.10254482063202655</v>
      </c>
      <c r="W9" s="70" t="e">
        <f t="shared" ref="W9:W15" si="7">(T9-P9)/P9*100</f>
        <v>#DIV/0!</v>
      </c>
      <c r="X9" s="107"/>
    </row>
    <row r="10" spans="2:24">
      <c r="B10" s="121"/>
      <c r="C10" s="75" t="s">
        <v>39</v>
      </c>
      <c r="D10" s="18"/>
      <c r="E10" s="93">
        <v>159.78976334617499</v>
      </c>
      <c r="F10" s="67">
        <v>160.3401210787012</v>
      </c>
      <c r="G10" s="70">
        <v>160.0099064391855</v>
      </c>
      <c r="H10" s="21">
        <f t="shared" si="0"/>
        <v>160.04659695468723</v>
      </c>
      <c r="I10" s="64">
        <f t="shared" si="1"/>
        <v>0.27700731738292506</v>
      </c>
      <c r="J10" s="67">
        <f t="shared" si="2"/>
        <v>0.17307916735108839</v>
      </c>
      <c r="K10" s="70" t="e">
        <f t="shared" si="3"/>
        <v>#DIV/0!</v>
      </c>
      <c r="L10" s="106"/>
      <c r="M10" s="96"/>
      <c r="N10" s="123"/>
      <c r="O10" s="75" t="s">
        <v>39</v>
      </c>
      <c r="P10" s="18"/>
      <c r="Q10" s="93">
        <v>161.17178924259059</v>
      </c>
      <c r="R10" s="67">
        <v>160.78759604829861</v>
      </c>
      <c r="S10" s="70">
        <v>159.744785949506</v>
      </c>
      <c r="T10" s="21">
        <f t="shared" si="4"/>
        <v>160.56805708013175</v>
      </c>
      <c r="U10" s="64">
        <f t="shared" si="5"/>
        <v>0.73839868534986108</v>
      </c>
      <c r="V10" s="67">
        <f t="shared" si="6"/>
        <v>0.45986648825261806</v>
      </c>
      <c r="W10" s="70" t="e">
        <f t="shared" si="7"/>
        <v>#DIV/0!</v>
      </c>
      <c r="X10" s="107"/>
    </row>
    <row r="11" spans="2:24">
      <c r="B11" s="121"/>
      <c r="C11" s="75" t="s">
        <v>41</v>
      </c>
      <c r="D11" s="18"/>
      <c r="E11" s="93">
        <v>239.81177765547599</v>
      </c>
      <c r="F11" s="67">
        <v>240.8574573472757</v>
      </c>
      <c r="G11" s="70">
        <v>239.81177765547599</v>
      </c>
      <c r="H11" s="21">
        <f t="shared" si="0"/>
        <v>240.16033755274256</v>
      </c>
      <c r="I11" s="64">
        <f t="shared" si="1"/>
        <v>0.60372345154668472</v>
      </c>
      <c r="J11" s="67">
        <f t="shared" si="2"/>
        <v>0.25138349558411099</v>
      </c>
      <c r="K11" s="70" t="e">
        <f t="shared" si="3"/>
        <v>#DIV/0!</v>
      </c>
      <c r="L11" s="106"/>
      <c r="M11" s="96"/>
      <c r="N11" s="123"/>
      <c r="O11" s="75" t="s">
        <v>41</v>
      </c>
      <c r="P11" s="18"/>
      <c r="Q11" s="93">
        <v>240.42535675082331</v>
      </c>
      <c r="R11" s="67">
        <v>240.37047200878149</v>
      </c>
      <c r="S11" s="70">
        <v>240.59001097694841</v>
      </c>
      <c r="T11" s="21">
        <f t="shared" si="4"/>
        <v>240.46194657885107</v>
      </c>
      <c r="U11" s="64">
        <f t="shared" si="5"/>
        <v>0.11425170139772163</v>
      </c>
      <c r="V11" s="67">
        <f t="shared" si="6"/>
        <v>4.7513422819380188E-2</v>
      </c>
      <c r="W11" s="70" t="e">
        <f t="shared" si="7"/>
        <v>#DIV/0!</v>
      </c>
      <c r="X11" s="107"/>
    </row>
    <row r="12" spans="2:24">
      <c r="B12" s="121"/>
      <c r="C12" s="75" t="s">
        <v>43</v>
      </c>
      <c r="D12" s="18"/>
      <c r="E12" s="93">
        <v>240.3070996147496</v>
      </c>
      <c r="F12" s="67">
        <v>239.70170610897091</v>
      </c>
      <c r="G12" s="70">
        <v>240.52724270776011</v>
      </c>
      <c r="H12" s="21">
        <f t="shared" si="0"/>
        <v>240.17868281049354</v>
      </c>
      <c r="I12" s="64">
        <f t="shared" si="1"/>
        <v>0.42748780765843447</v>
      </c>
      <c r="J12" s="67">
        <f t="shared" si="2"/>
        <v>0.17798740614950084</v>
      </c>
      <c r="K12" s="70" t="e">
        <f t="shared" si="3"/>
        <v>#DIV/0!</v>
      </c>
      <c r="L12" s="106"/>
      <c r="M12" s="96"/>
      <c r="N12" s="123"/>
      <c r="O12" s="75" t="s">
        <v>43</v>
      </c>
      <c r="P12" s="18"/>
      <c r="Q12" s="93">
        <v>241.63282107574091</v>
      </c>
      <c r="R12" s="67">
        <v>241.0839736553238</v>
      </c>
      <c r="S12" s="70">
        <v>242.78540065861691</v>
      </c>
      <c r="T12" s="21">
        <f t="shared" si="4"/>
        <v>241.8340651298939</v>
      </c>
      <c r="U12" s="64">
        <f t="shared" si="5"/>
        <v>0.86838231147500944</v>
      </c>
      <c r="V12" s="67">
        <f t="shared" si="6"/>
        <v>0.35908188162349419</v>
      </c>
      <c r="W12" s="70" t="e">
        <f t="shared" si="7"/>
        <v>#DIV/0!</v>
      </c>
      <c r="X12" s="107"/>
    </row>
    <row r="13" spans="2:24">
      <c r="B13" s="121"/>
      <c r="C13" s="75" t="s">
        <v>45</v>
      </c>
      <c r="D13" s="18"/>
      <c r="E13" s="93">
        <v>132.76719867914139</v>
      </c>
      <c r="F13" s="67">
        <v>132.4920198128784</v>
      </c>
      <c r="G13" s="70">
        <v>132.4920198128784</v>
      </c>
      <c r="H13" s="21">
        <f t="shared" si="0"/>
        <v>132.58374610163273</v>
      </c>
      <c r="I13" s="64">
        <f t="shared" si="1"/>
        <v>0.15887459251223363</v>
      </c>
      <c r="J13" s="67">
        <f t="shared" si="2"/>
        <v>0.11982961500457796</v>
      </c>
      <c r="K13" s="70" t="e">
        <f t="shared" si="3"/>
        <v>#DIV/0!</v>
      </c>
      <c r="L13" s="106"/>
      <c r="M13" s="96"/>
      <c r="N13" s="123"/>
      <c r="O13" s="75" t="s">
        <v>45</v>
      </c>
      <c r="P13" s="18"/>
      <c r="Q13" s="93">
        <v>131.14983534577391</v>
      </c>
      <c r="R13" s="67">
        <v>131.2596048298573</v>
      </c>
      <c r="S13" s="70">
        <v>131.69868276619101</v>
      </c>
      <c r="T13" s="21">
        <f t="shared" si="4"/>
        <v>131.36937431394074</v>
      </c>
      <c r="U13" s="64">
        <f t="shared" si="5"/>
        <v>0.29042275642860077</v>
      </c>
      <c r="V13" s="67">
        <f t="shared" si="6"/>
        <v>0.22107341071333814</v>
      </c>
      <c r="W13" s="70" t="e">
        <f t="shared" si="7"/>
        <v>#DIV/0!</v>
      </c>
      <c r="X13" s="107"/>
    </row>
    <row r="14" spans="2:24">
      <c r="B14" s="121"/>
      <c r="C14" s="75" t="s">
        <v>47</v>
      </c>
      <c r="D14" s="18"/>
      <c r="E14" s="93">
        <v>131.83159053384699</v>
      </c>
      <c r="F14" s="67">
        <v>132.32691249312049</v>
      </c>
      <c r="G14" s="70">
        <v>132.43698403962571</v>
      </c>
      <c r="H14" s="22">
        <f t="shared" si="0"/>
        <v>132.1984956888644</v>
      </c>
      <c r="I14" s="65">
        <f t="shared" si="1"/>
        <v>0.32248020237104952</v>
      </c>
      <c r="J14" s="68">
        <f t="shared" si="2"/>
        <v>0.24393636303549354</v>
      </c>
      <c r="K14" s="71" t="e">
        <f t="shared" si="3"/>
        <v>#DIV/0!</v>
      </c>
      <c r="L14" s="106"/>
      <c r="M14" s="96"/>
      <c r="N14" s="124"/>
      <c r="O14" s="75" t="s">
        <v>47</v>
      </c>
      <c r="P14" s="18"/>
      <c r="Q14" s="93">
        <v>132.30241492864991</v>
      </c>
      <c r="R14" s="67">
        <v>132.19264544456641</v>
      </c>
      <c r="S14" s="70">
        <v>132.74149286498351</v>
      </c>
      <c r="T14" s="22">
        <f t="shared" si="4"/>
        <v>132.4121844127333</v>
      </c>
      <c r="U14" s="65">
        <f t="shared" si="5"/>
        <v>0.29042275642857929</v>
      </c>
      <c r="V14" s="68">
        <f t="shared" si="6"/>
        <v>0.2193323505058429</v>
      </c>
      <c r="W14" s="71" t="e">
        <f t="shared" si="7"/>
        <v>#DIV/0!</v>
      </c>
      <c r="X14" s="108"/>
    </row>
    <row r="15" spans="2:24">
      <c r="B15" s="116" t="s">
        <v>49</v>
      </c>
      <c r="C15" s="23" t="s">
        <v>35</v>
      </c>
      <c r="D15" s="55">
        <v>49.006709047562687</v>
      </c>
      <c r="E15" s="95">
        <v>48.493902036323611</v>
      </c>
      <c r="F15" s="69">
        <v>48.733858007705017</v>
      </c>
      <c r="G15" s="72">
        <v>48.553891029168973</v>
      </c>
      <c r="H15" s="21">
        <f t="shared" si="0"/>
        <v>48.593883691065862</v>
      </c>
      <c r="I15" s="64">
        <f t="shared" si="1"/>
        <v>0.12487704674838344</v>
      </c>
      <c r="J15" s="67">
        <f t="shared" si="2"/>
        <v>0.25698099691369691</v>
      </c>
      <c r="K15" s="70">
        <f t="shared" si="3"/>
        <v>-0.84238538869476753</v>
      </c>
      <c r="L15" s="104">
        <f>H15-D15</f>
        <v>-0.41282535649682472</v>
      </c>
      <c r="M15" s="96"/>
      <c r="N15" s="116" t="s">
        <v>49</v>
      </c>
      <c r="O15" s="23" t="s">
        <v>35</v>
      </c>
      <c r="P15" s="55">
        <v>49.006709047562687</v>
      </c>
      <c r="Q15" s="95">
        <v>49.627305159165751</v>
      </c>
      <c r="R15" s="69">
        <v>49.208534577387489</v>
      </c>
      <c r="S15" s="72">
        <v>49.567480790340298</v>
      </c>
      <c r="T15" s="20">
        <f t="shared" si="4"/>
        <v>49.467773508964513</v>
      </c>
      <c r="U15" s="66">
        <f t="shared" si="5"/>
        <v>0.22649140493678432</v>
      </c>
      <c r="V15" s="69">
        <f t="shared" si="6"/>
        <v>0.45785647679441183</v>
      </c>
      <c r="W15" s="72">
        <f t="shared" si="7"/>
        <v>0.94081906408844296</v>
      </c>
      <c r="X15" s="72">
        <f>T15-P15</f>
        <v>0.46106446140182555</v>
      </c>
    </row>
    <row r="16" spans="2:24" ht="17.25" customHeight="1">
      <c r="B16" s="117"/>
      <c r="C16" s="24" t="s">
        <v>135</v>
      </c>
      <c r="D16" s="85">
        <v>58.3</v>
      </c>
      <c r="E16" s="94">
        <v>57.912173913043482</v>
      </c>
      <c r="F16" s="68">
        <v>57.55223995597138</v>
      </c>
      <c r="G16" s="71">
        <v>58.032151898734178</v>
      </c>
      <c r="H16" s="22">
        <f t="shared" si="0"/>
        <v>57.832188589249682</v>
      </c>
      <c r="I16" s="65">
        <f t="shared" si="1"/>
        <v>0.24975409349676345</v>
      </c>
      <c r="J16" s="68">
        <f t="shared" si="2"/>
        <v>0.43186000666623531</v>
      </c>
      <c r="K16" s="71">
        <f t="shared" si="3"/>
        <v>-0.8024209446832159</v>
      </c>
      <c r="L16" s="105">
        <f>H16-D16</f>
        <v>-0.46781141075031485</v>
      </c>
      <c r="M16" s="96"/>
      <c r="N16" s="117"/>
      <c r="O16" s="24"/>
      <c r="P16" s="85"/>
      <c r="Q16" s="94"/>
      <c r="R16" s="68"/>
      <c r="S16" s="71"/>
      <c r="T16" s="22"/>
      <c r="U16" s="65"/>
      <c r="V16" s="68"/>
      <c r="W16" s="71"/>
      <c r="X16" s="108"/>
    </row>
    <row r="17" spans="2:24" ht="21" customHeight="1">
      <c r="B17" s="131" t="s">
        <v>52</v>
      </c>
      <c r="C17" s="23" t="s">
        <v>37</v>
      </c>
      <c r="D17" s="55"/>
      <c r="E17" s="95">
        <v>46.094342322509632</v>
      </c>
      <c r="F17" s="69">
        <v>46.214320308200328</v>
      </c>
      <c r="G17" s="72">
        <v>46.334298293891031</v>
      </c>
      <c r="H17" s="20">
        <f t="shared" si="0"/>
        <v>46.214320308200335</v>
      </c>
      <c r="I17" s="66">
        <f t="shared" si="1"/>
        <v>0.11997798569069928</v>
      </c>
      <c r="J17" s="69">
        <f t="shared" si="2"/>
        <v>0.25961213946364203</v>
      </c>
      <c r="K17" s="72" t="e">
        <f t="shared" si="3"/>
        <v>#DIV/0!</v>
      </c>
      <c r="L17" s="106"/>
      <c r="M17" s="96"/>
      <c r="N17" s="132" t="s">
        <v>52</v>
      </c>
      <c r="O17" s="75" t="s">
        <v>37</v>
      </c>
      <c r="P17" s="18"/>
      <c r="Q17" s="93">
        <v>47.174506037321628</v>
      </c>
      <c r="R17" s="67">
        <v>46.097667398463237</v>
      </c>
      <c r="S17" s="70">
        <v>46.935208562019767</v>
      </c>
      <c r="T17" s="21">
        <f t="shared" ref="T17:T23" si="8">AVERAGE(Q17:S17)</f>
        <v>46.735793999268218</v>
      </c>
      <c r="U17" s="64">
        <f t="shared" ref="U17:U23" si="9">STDEV(Q17:S17)</f>
        <v>0.56543787405217527</v>
      </c>
      <c r="V17" s="67">
        <f t="shared" ref="V17:V23" si="10">U17/T17*100</f>
        <v>1.2098604210319586</v>
      </c>
      <c r="W17" s="70" t="e">
        <f t="shared" ref="W17:W23" si="11">(T17-P17)/P17*100</f>
        <v>#DIV/0!</v>
      </c>
      <c r="X17" s="107"/>
    </row>
    <row r="18" spans="2:24">
      <c r="B18" s="121"/>
      <c r="C18" s="75" t="s">
        <v>39</v>
      </c>
      <c r="D18" s="18"/>
      <c r="E18" s="67">
        <v>45.614430379746842</v>
      </c>
      <c r="F18" s="67">
        <v>45.854386351128227</v>
      </c>
      <c r="G18" s="70">
        <v>45.914375343973582</v>
      </c>
      <c r="H18" s="21">
        <f t="shared" si="0"/>
        <v>45.794397358282879</v>
      </c>
      <c r="I18" s="64">
        <f t="shared" si="1"/>
        <v>0.15871595647002212</v>
      </c>
      <c r="J18" s="67">
        <f t="shared" si="2"/>
        <v>0.34658378672017837</v>
      </c>
      <c r="K18" s="70" t="e">
        <f t="shared" si="3"/>
        <v>#DIV/0!</v>
      </c>
      <c r="L18" s="106"/>
      <c r="M18" s="96"/>
      <c r="N18" s="123"/>
      <c r="O18" s="75" t="s">
        <v>39</v>
      </c>
      <c r="P18" s="18"/>
      <c r="Q18" s="67">
        <v>46.396789242590572</v>
      </c>
      <c r="R18" s="67">
        <v>46.636086717892432</v>
      </c>
      <c r="S18" s="70">
        <v>46.695911086717892</v>
      </c>
      <c r="T18" s="21">
        <f t="shared" si="8"/>
        <v>46.576262349066972</v>
      </c>
      <c r="U18" s="64">
        <f t="shared" si="9"/>
        <v>0.15828040225358403</v>
      </c>
      <c r="V18" s="67">
        <f t="shared" si="10"/>
        <v>0.33983062244743378</v>
      </c>
      <c r="W18" s="70" t="e">
        <f t="shared" si="11"/>
        <v>#DIV/0!</v>
      </c>
      <c r="X18" s="107"/>
    </row>
    <row r="19" spans="2:24">
      <c r="B19" s="121"/>
      <c r="C19" s="75" t="s">
        <v>41</v>
      </c>
      <c r="D19" s="18"/>
      <c r="E19" s="67">
        <v>57.07232801320859</v>
      </c>
      <c r="F19" s="67">
        <v>56.652405063291141</v>
      </c>
      <c r="G19" s="70">
        <v>56.292471106219047</v>
      </c>
      <c r="H19" s="21">
        <f t="shared" si="0"/>
        <v>56.672401394239593</v>
      </c>
      <c r="I19" s="64">
        <f t="shared" si="1"/>
        <v>0.39031280888970887</v>
      </c>
      <c r="J19" s="67">
        <f t="shared" si="2"/>
        <v>0.68871761084290639</v>
      </c>
      <c r="K19" s="70" t="e">
        <f t="shared" si="3"/>
        <v>#DIV/0!</v>
      </c>
      <c r="L19" s="106"/>
      <c r="M19" s="96"/>
      <c r="N19" s="123"/>
      <c r="O19" s="75" t="s">
        <v>41</v>
      </c>
      <c r="P19" s="18"/>
      <c r="Q19" s="67">
        <v>57.165175631174527</v>
      </c>
      <c r="R19" s="67">
        <v>56.985702524698141</v>
      </c>
      <c r="S19" s="70">
        <v>57.165175631174527</v>
      </c>
      <c r="T19" s="21">
        <f t="shared" si="8"/>
        <v>57.105351262349068</v>
      </c>
      <c r="U19" s="64">
        <f t="shared" si="9"/>
        <v>0.10361884633644017</v>
      </c>
      <c r="V19" s="67">
        <f t="shared" si="10"/>
        <v>0.18145207768778504</v>
      </c>
      <c r="W19" s="70" t="e">
        <f t="shared" si="11"/>
        <v>#DIV/0!</v>
      </c>
      <c r="X19" s="107"/>
    </row>
    <row r="20" spans="2:24">
      <c r="B20" s="121"/>
      <c r="C20" s="75" t="s">
        <v>43</v>
      </c>
      <c r="D20" s="18"/>
      <c r="E20" s="67">
        <v>56.532427077600452</v>
      </c>
      <c r="F20" s="67">
        <v>56.892361034672547</v>
      </c>
      <c r="G20" s="70">
        <v>56.532427077600452</v>
      </c>
      <c r="H20" s="21">
        <f t="shared" si="0"/>
        <v>56.652405063291155</v>
      </c>
      <c r="I20" s="64">
        <f t="shared" si="1"/>
        <v>0.20780796700606086</v>
      </c>
      <c r="J20" s="67">
        <f t="shared" si="2"/>
        <v>0.36681225938051726</v>
      </c>
      <c r="K20" s="70" t="e">
        <f t="shared" si="3"/>
        <v>#DIV/0!</v>
      </c>
      <c r="L20" s="106"/>
      <c r="M20" s="96"/>
      <c r="N20" s="123"/>
      <c r="O20" s="75" t="s">
        <v>43</v>
      </c>
      <c r="P20" s="18"/>
      <c r="Q20" s="67">
        <v>57.284824368825483</v>
      </c>
      <c r="R20" s="67">
        <v>57.64377058177827</v>
      </c>
      <c r="S20" s="70">
        <v>56.985702524698141</v>
      </c>
      <c r="T20" s="21">
        <f t="shared" si="8"/>
        <v>57.304765825100638</v>
      </c>
      <c r="U20" s="64">
        <f t="shared" si="9"/>
        <v>0.32948693175311866</v>
      </c>
      <c r="V20" s="67">
        <f t="shared" si="10"/>
        <v>0.57497300095203741</v>
      </c>
      <c r="W20" s="70" t="e">
        <f t="shared" si="11"/>
        <v>#DIV/0!</v>
      </c>
      <c r="X20" s="107"/>
    </row>
    <row r="21" spans="2:24">
      <c r="B21" s="121"/>
      <c r="C21" s="75" t="s">
        <v>45</v>
      </c>
      <c r="D21" s="18"/>
      <c r="E21" s="67">
        <v>52.15323059988993</v>
      </c>
      <c r="F21" s="67">
        <v>52.393186571271329</v>
      </c>
      <c r="G21" s="70">
        <v>52.093241607044583</v>
      </c>
      <c r="H21" s="21">
        <f t="shared" si="0"/>
        <v>52.213219592735278</v>
      </c>
      <c r="I21" s="64">
        <f t="shared" si="1"/>
        <v>0.15871595647002751</v>
      </c>
      <c r="J21" s="67">
        <f t="shared" si="2"/>
        <v>0.30397657472191308</v>
      </c>
      <c r="K21" s="70" t="e">
        <f t="shared" si="3"/>
        <v>#DIV/0!</v>
      </c>
      <c r="L21" s="106"/>
      <c r="M21" s="96"/>
      <c r="N21" s="123"/>
      <c r="O21" s="75" t="s">
        <v>45</v>
      </c>
      <c r="P21" s="18"/>
      <c r="Q21" s="67">
        <v>52.917645444566418</v>
      </c>
      <c r="R21" s="67">
        <v>52.498874862788149</v>
      </c>
      <c r="S21" s="70">
        <v>52.498874862788149</v>
      </c>
      <c r="T21" s="21">
        <f t="shared" si="8"/>
        <v>52.638465056714239</v>
      </c>
      <c r="U21" s="64">
        <f t="shared" si="9"/>
        <v>0.24177730811837952</v>
      </c>
      <c r="V21" s="67">
        <f t="shared" si="10"/>
        <v>0.45931679021772676</v>
      </c>
      <c r="W21" s="70" t="e">
        <f t="shared" si="11"/>
        <v>#DIV/0!</v>
      </c>
      <c r="X21" s="107"/>
    </row>
    <row r="22" spans="2:24">
      <c r="B22" s="121"/>
      <c r="C22" s="75" t="s">
        <v>47</v>
      </c>
      <c r="D22" s="18"/>
      <c r="E22" s="67">
        <v>52.63314254265272</v>
      </c>
      <c r="F22" s="67">
        <v>52.993076499724822</v>
      </c>
      <c r="G22" s="70">
        <v>52.573153549807373</v>
      </c>
      <c r="H22" s="21">
        <f t="shared" si="0"/>
        <v>52.733124197394972</v>
      </c>
      <c r="I22" s="64">
        <f t="shared" si="1"/>
        <v>0.22711466141707407</v>
      </c>
      <c r="J22" s="67">
        <f t="shared" si="2"/>
        <v>0.430686906709566</v>
      </c>
      <c r="K22" s="70" t="e">
        <f t="shared" si="3"/>
        <v>#DIV/0!</v>
      </c>
      <c r="L22" s="106"/>
      <c r="M22" s="96"/>
      <c r="N22" s="124"/>
      <c r="O22" s="75" t="s">
        <v>47</v>
      </c>
      <c r="P22" s="18"/>
      <c r="Q22" s="67">
        <v>52.857821075740937</v>
      </c>
      <c r="R22" s="67">
        <v>52.857821075740937</v>
      </c>
      <c r="S22" s="70">
        <v>52.917645444566418</v>
      </c>
      <c r="T22" s="21">
        <f t="shared" si="8"/>
        <v>52.877762532016099</v>
      </c>
      <c r="U22" s="64">
        <f t="shared" si="9"/>
        <v>3.4539615445490994E-2</v>
      </c>
      <c r="V22" s="67">
        <f t="shared" si="10"/>
        <v>6.5319737053129212E-2</v>
      </c>
      <c r="W22" s="70" t="e">
        <f t="shared" si="11"/>
        <v>#DIV/0!</v>
      </c>
      <c r="X22" s="108"/>
    </row>
    <row r="23" spans="2:24">
      <c r="B23" s="130" t="s">
        <v>59</v>
      </c>
      <c r="C23" s="23" t="s">
        <v>35</v>
      </c>
      <c r="D23" s="55">
        <v>120.5507710981711</v>
      </c>
      <c r="E23" s="95">
        <v>120.2666923500275</v>
      </c>
      <c r="F23" s="69">
        <v>122.2832030820033</v>
      </c>
      <c r="G23" s="72">
        <v>122.13295542102369</v>
      </c>
      <c r="H23" s="20">
        <f t="shared" si="0"/>
        <v>121.56095028435148</v>
      </c>
      <c r="I23" s="90">
        <f t="shared" si="1"/>
        <v>1.1233749553590415</v>
      </c>
      <c r="J23" s="69">
        <f t="shared" si="2"/>
        <v>0.92412485484136053</v>
      </c>
      <c r="K23" s="72">
        <f t="shared" si="3"/>
        <v>0.83796990842782437</v>
      </c>
      <c r="L23" s="104">
        <f>H23-D23</f>
        <v>1.0101791861803804</v>
      </c>
      <c r="M23" s="96"/>
      <c r="N23" s="130" t="s">
        <v>59</v>
      </c>
      <c r="O23" s="23" t="s">
        <v>35</v>
      </c>
      <c r="P23" s="55">
        <v>120.5507710981711</v>
      </c>
      <c r="Q23" s="95">
        <v>120.49069703622391</v>
      </c>
      <c r="R23" s="69">
        <v>122.7206641053787</v>
      </c>
      <c r="S23" s="72">
        <v>121.2091383095499</v>
      </c>
      <c r="T23" s="20">
        <f t="shared" si="8"/>
        <v>121.47349981705084</v>
      </c>
      <c r="U23" s="90">
        <f t="shared" si="9"/>
        <v>1.1382458158784654</v>
      </c>
      <c r="V23" s="69">
        <f t="shared" si="10"/>
        <v>0.93703220668932574</v>
      </c>
      <c r="W23" s="72">
        <f t="shared" si="11"/>
        <v>0.76542747132518174</v>
      </c>
      <c r="X23" s="72">
        <f>T23-P23</f>
        <v>0.92272871887973906</v>
      </c>
    </row>
    <row r="24" spans="2:24" ht="17.25" customHeight="1">
      <c r="B24" s="117"/>
      <c r="C24" s="24" t="s">
        <v>135</v>
      </c>
      <c r="D24" s="85">
        <v>137.9</v>
      </c>
      <c r="E24" s="94">
        <v>140.8429168959824</v>
      </c>
      <c r="F24" s="68">
        <v>141.20285085305451</v>
      </c>
      <c r="G24" s="71">
        <v>140.5027958172812</v>
      </c>
      <c r="H24" s="22">
        <f t="shared" si="0"/>
        <v>140.84952118877271</v>
      </c>
      <c r="I24" s="91">
        <f t="shared" si="1"/>
        <v>0.35007424325468489</v>
      </c>
      <c r="J24" s="68">
        <f t="shared" si="2"/>
        <v>0.24854485858386413</v>
      </c>
      <c r="K24" s="71">
        <f t="shared" si="3"/>
        <v>2.1388841107851388</v>
      </c>
      <c r="L24" s="105">
        <f>H24-D24</f>
        <v>2.9495211887727066</v>
      </c>
      <c r="M24" s="96"/>
      <c r="N24" s="117"/>
      <c r="O24" s="24"/>
      <c r="P24" s="85"/>
      <c r="Q24" s="94"/>
      <c r="R24" s="68"/>
      <c r="S24" s="71"/>
      <c r="T24" s="22"/>
      <c r="U24" s="91"/>
      <c r="V24" s="68"/>
      <c r="W24" s="71"/>
      <c r="X24" s="108"/>
    </row>
    <row r="25" spans="2:24">
      <c r="B25" s="133" t="s">
        <v>62</v>
      </c>
      <c r="C25" s="75" t="s">
        <v>37</v>
      </c>
      <c r="D25" s="18"/>
      <c r="E25" s="95">
        <v>113.58534947716019</v>
      </c>
      <c r="F25" s="69">
        <v>113.96069345074299</v>
      </c>
      <c r="G25" s="72">
        <v>113.0702146395157</v>
      </c>
      <c r="H25" s="20">
        <f t="shared" si="0"/>
        <v>113.53875252247296</v>
      </c>
      <c r="I25" s="66">
        <f t="shared" si="1"/>
        <v>0.44706440861556834</v>
      </c>
      <c r="J25" s="69">
        <f t="shared" si="2"/>
        <v>0.39375490630573901</v>
      </c>
      <c r="K25" s="72" t="e">
        <f t="shared" si="3"/>
        <v>#DIV/0!</v>
      </c>
      <c r="L25" s="101"/>
      <c r="M25" s="96"/>
      <c r="N25" s="133" t="s">
        <v>62</v>
      </c>
      <c r="O25" s="75" t="s">
        <v>37</v>
      </c>
      <c r="P25" s="18"/>
      <c r="Q25" s="93">
        <v>113.22889681668489</v>
      </c>
      <c r="R25" s="67">
        <v>114.6350439077936</v>
      </c>
      <c r="S25" s="70">
        <v>113.632848518112</v>
      </c>
      <c r="T25" s="21">
        <f t="shared" ref="T25:T30" si="12">AVERAGE(Q25:S25)</f>
        <v>113.83226308086348</v>
      </c>
      <c r="U25" s="64">
        <f t="shared" ref="U25:U30" si="13">STDEV(Q25:S25)</f>
        <v>0.7239730908924713</v>
      </c>
      <c r="V25" s="67">
        <f t="shared" ref="V25:V30" si="14">U25/T25*100</f>
        <v>0.63599991012932744</v>
      </c>
      <c r="W25" s="70" t="e">
        <f t="shared" ref="W25:W30" si="15">(T25-P25)/P25*100</f>
        <v>#DIV/0!</v>
      </c>
      <c r="X25" s="107"/>
    </row>
    <row r="26" spans="2:24">
      <c r="B26" s="123"/>
      <c r="C26" s="75" t="s">
        <v>39</v>
      </c>
      <c r="D26" s="18"/>
      <c r="E26" s="93">
        <v>114.1753329664282</v>
      </c>
      <c r="F26" s="67">
        <v>114.4857347275729</v>
      </c>
      <c r="G26" s="70">
        <v>114.0955310952119</v>
      </c>
      <c r="H26" s="21">
        <f t="shared" si="0"/>
        <v>114.25219959640434</v>
      </c>
      <c r="I26" s="64">
        <f t="shared" si="1"/>
        <v>0.20614576828023154</v>
      </c>
      <c r="J26" s="67">
        <f t="shared" si="2"/>
        <v>0.18043045911452124</v>
      </c>
      <c r="K26" s="70" t="e">
        <f t="shared" si="3"/>
        <v>#DIV/0!</v>
      </c>
      <c r="L26" s="101"/>
      <c r="M26" s="96"/>
      <c r="N26" s="123"/>
      <c r="O26" s="75" t="s">
        <v>39</v>
      </c>
      <c r="P26" s="18"/>
      <c r="Q26" s="93">
        <v>114.77500000000001</v>
      </c>
      <c r="R26" s="67">
        <v>114.1515093304062</v>
      </c>
      <c r="S26" s="70">
        <v>113.0488748627881</v>
      </c>
      <c r="T26" s="21">
        <f t="shared" si="12"/>
        <v>113.99179473106476</v>
      </c>
      <c r="U26" s="64">
        <f t="shared" si="13"/>
        <v>0.87407583324377736</v>
      </c>
      <c r="V26" s="67">
        <f t="shared" si="14"/>
        <v>0.76678837744939576</v>
      </c>
      <c r="W26" s="70" t="e">
        <f t="shared" si="15"/>
        <v>#DIV/0!</v>
      </c>
      <c r="X26" s="107"/>
    </row>
    <row r="27" spans="2:24">
      <c r="B27" s="123"/>
      <c r="C27" s="75" t="s">
        <v>41</v>
      </c>
      <c r="D27" s="45"/>
      <c r="E27" s="93">
        <v>182.73944964226749</v>
      </c>
      <c r="F27" s="67">
        <v>184.2050522839846</v>
      </c>
      <c r="G27" s="70">
        <v>183.51930654925701</v>
      </c>
      <c r="H27" s="21">
        <f t="shared" si="0"/>
        <v>183.487936158503</v>
      </c>
      <c r="I27" s="64">
        <f t="shared" si="1"/>
        <v>0.73330474696001191</v>
      </c>
      <c r="J27" s="67">
        <f t="shared" si="2"/>
        <v>0.39964738953004453</v>
      </c>
      <c r="K27" s="70" t="e">
        <f t="shared" si="3"/>
        <v>#DIV/0!</v>
      </c>
      <c r="L27" s="101"/>
      <c r="M27" s="96"/>
      <c r="N27" s="123"/>
      <c r="O27" s="75" t="s">
        <v>41</v>
      </c>
      <c r="P27" s="45"/>
      <c r="Q27" s="93">
        <v>183.26018111964871</v>
      </c>
      <c r="R27" s="67">
        <v>183.38476948408339</v>
      </c>
      <c r="S27" s="70">
        <v>183.42483534577389</v>
      </c>
      <c r="T27" s="21">
        <f t="shared" si="12"/>
        <v>183.35659531650199</v>
      </c>
      <c r="U27" s="64">
        <f t="shared" si="13"/>
        <v>8.5866706786733971E-2</v>
      </c>
      <c r="V27" s="67">
        <f t="shared" si="14"/>
        <v>4.6830443507371353E-2</v>
      </c>
      <c r="W27" s="70" t="e">
        <f t="shared" si="15"/>
        <v>#DIV/0!</v>
      </c>
      <c r="X27" s="107"/>
    </row>
    <row r="28" spans="2:24">
      <c r="B28" s="123"/>
      <c r="C28" s="75" t="s">
        <v>43</v>
      </c>
      <c r="D28" s="46"/>
      <c r="E28" s="93">
        <v>183.7746725371492</v>
      </c>
      <c r="F28" s="67">
        <v>182.80934507429831</v>
      </c>
      <c r="G28" s="70">
        <v>183.99481563015959</v>
      </c>
      <c r="H28" s="21">
        <f t="shared" si="0"/>
        <v>183.52627774720236</v>
      </c>
      <c r="I28" s="64">
        <f t="shared" si="1"/>
        <v>0.63056331042811686</v>
      </c>
      <c r="J28" s="67">
        <f t="shared" si="2"/>
        <v>0.34358202986968661</v>
      </c>
      <c r="K28" s="70" t="e">
        <f t="shared" si="3"/>
        <v>#DIV/0!</v>
      </c>
      <c r="L28" s="101"/>
      <c r="M28" s="96"/>
      <c r="N28" s="123"/>
      <c r="O28" s="75" t="s">
        <v>43</v>
      </c>
      <c r="P28" s="46"/>
      <c r="Q28" s="93">
        <v>184.3479967069155</v>
      </c>
      <c r="R28" s="67">
        <v>183.44020307354549</v>
      </c>
      <c r="S28" s="70">
        <v>185.79969813391881</v>
      </c>
      <c r="T28" s="21">
        <f t="shared" si="12"/>
        <v>184.52929930479328</v>
      </c>
      <c r="U28" s="64">
        <f t="shared" si="13"/>
        <v>1.1901500783428303</v>
      </c>
      <c r="V28" s="67">
        <f t="shared" si="14"/>
        <v>0.64496537017518241</v>
      </c>
      <c r="W28" s="70" t="e">
        <f t="shared" si="15"/>
        <v>#DIV/0!</v>
      </c>
      <c r="X28" s="107"/>
    </row>
    <row r="29" spans="2:24">
      <c r="B29" s="123"/>
      <c r="C29" s="75" t="s">
        <v>45</v>
      </c>
      <c r="D29" s="45"/>
      <c r="E29" s="93">
        <v>80.613968079251521</v>
      </c>
      <c r="F29" s="67">
        <v>80.098833241607039</v>
      </c>
      <c r="G29" s="70">
        <v>80.398778205833793</v>
      </c>
      <c r="H29" s="21">
        <f t="shared" si="0"/>
        <v>80.370526508897441</v>
      </c>
      <c r="I29" s="64">
        <f t="shared" si="1"/>
        <v>0.25872687147567175</v>
      </c>
      <c r="J29" s="67">
        <f t="shared" si="2"/>
        <v>0.3219176017803359</v>
      </c>
      <c r="K29" s="70" t="e">
        <f t="shared" si="3"/>
        <v>#DIV/0!</v>
      </c>
      <c r="L29" s="101"/>
      <c r="M29" s="96"/>
      <c r="N29" s="123"/>
      <c r="O29" s="75" t="s">
        <v>45</v>
      </c>
      <c r="P29" s="45"/>
      <c r="Q29" s="93">
        <v>78.232189901207462</v>
      </c>
      <c r="R29" s="67">
        <v>78.760729967069153</v>
      </c>
      <c r="S29" s="70">
        <v>79.199807903402842</v>
      </c>
      <c r="T29" s="21">
        <f t="shared" si="12"/>
        <v>78.730909257226486</v>
      </c>
      <c r="U29" s="64">
        <f t="shared" si="13"/>
        <v>0.484497786986468</v>
      </c>
      <c r="V29" s="67">
        <f t="shared" si="14"/>
        <v>0.61538446787593437</v>
      </c>
      <c r="W29" s="70" t="e">
        <f t="shared" si="15"/>
        <v>#DIV/0!</v>
      </c>
      <c r="X29" s="107"/>
    </row>
    <row r="30" spans="2:24">
      <c r="B30" s="124"/>
      <c r="C30" s="24" t="s">
        <v>47</v>
      </c>
      <c r="D30" s="47"/>
      <c r="E30" s="94">
        <v>79.198447991194271</v>
      </c>
      <c r="F30" s="68">
        <v>79.333835993395724</v>
      </c>
      <c r="G30" s="71">
        <v>79.863830489818369</v>
      </c>
      <c r="H30" s="22">
        <f t="shared" si="0"/>
        <v>79.465371491469455</v>
      </c>
      <c r="I30" s="65">
        <f t="shared" si="1"/>
        <v>0.35165275174373406</v>
      </c>
      <c r="J30" s="68">
        <f t="shared" si="2"/>
        <v>0.44252325905439666</v>
      </c>
      <c r="K30" s="71" t="e">
        <f t="shared" si="3"/>
        <v>#DIV/0!</v>
      </c>
      <c r="L30" s="102"/>
      <c r="M30" s="96"/>
      <c r="N30" s="124"/>
      <c r="O30" s="24" t="s">
        <v>47</v>
      </c>
      <c r="P30" s="47"/>
      <c r="Q30" s="94">
        <v>79.444593852908909</v>
      </c>
      <c r="R30" s="68">
        <v>79.334824368825466</v>
      </c>
      <c r="S30" s="71">
        <v>79.823847420417124</v>
      </c>
      <c r="T30" s="22">
        <f t="shared" si="12"/>
        <v>79.534421880717161</v>
      </c>
      <c r="U30" s="65">
        <f t="shared" si="13"/>
        <v>0.2565885659610444</v>
      </c>
      <c r="V30" s="68">
        <f t="shared" si="14"/>
        <v>0.32261322820183014</v>
      </c>
      <c r="W30" s="71" t="e">
        <f t="shared" si="15"/>
        <v>#DIV/0!</v>
      </c>
      <c r="X30" s="108"/>
    </row>
  </sheetData>
  <mergeCells count="20">
    <mergeCell ref="B25:B30"/>
    <mergeCell ref="B2:B3"/>
    <mergeCell ref="D2:G3"/>
    <mergeCell ref="N25:N30"/>
    <mergeCell ref="N2:N3"/>
    <mergeCell ref="B23:B24"/>
    <mergeCell ref="B17:B22"/>
    <mergeCell ref="N23:N24"/>
    <mergeCell ref="B15:B16"/>
    <mergeCell ref="H2:L2"/>
    <mergeCell ref="N17:N22"/>
    <mergeCell ref="T2:X2"/>
    <mergeCell ref="N15:N16"/>
    <mergeCell ref="H3:L3"/>
    <mergeCell ref="B9:B14"/>
    <mergeCell ref="N9:N14"/>
    <mergeCell ref="B7:B8"/>
    <mergeCell ref="N7:N8"/>
    <mergeCell ref="T3:X3"/>
    <mergeCell ref="P2:S3"/>
  </mergeCells>
  <phoneticPr fontId="1" type="noConversion"/>
  <conditionalFormatting sqref="E9:G14">
    <cfRule type="expression" dxfId="49" priority="1">
      <formula>AND(COUNT($E9:$G9)=3,COUNT($E17:$G17)=3,(ABS(E9-MEDIAN($E9:$G9))/MEDIAN($E9:$G9)+ABS(E17-MEDIAN($E17:$G17))/MEDIAN($E17:$G17))&lt;=MEDIAN(ABS($E9-MEDIAN($E9:$G9))/MEDIAN($E9:$G9)+ABS($E17-MEDIAN($E17:$G17))/MEDIAN($E17:$G17),ABS($F9-MEDIAN($E9:$G9))/MEDIAN($E9:$G9)+ABS($F17-MEDIAN($E17:$G17))/MEDIAN($E17:$G17),ABS($G9-MEDIAN($E9:$G9))/MEDIAN($E9:$G9)+ABS($G17-MEDIAN($E17:$G17))/MEDIAN($E17:$G17)))</formula>
    </cfRule>
  </conditionalFormatting>
  <conditionalFormatting sqref="E17:G22">
    <cfRule type="expression" dxfId="48" priority="2">
      <formula>AND(COUNT($E9:$G9)=3,COUNT($E17:$G17)=3,(ABS(E9-MEDIAN($E9:$G9))/MEDIAN($E9:$G9)+ABS(E17-MEDIAN($E17:$G17))/MEDIAN($E17:$G17))&lt;=MEDIAN(ABS($E9-MEDIAN($E9:$G9))/MEDIAN($E9:$G9)+ABS($E17-MEDIAN($E17:$G17))/MEDIAN($E17:$G17),ABS($F9-MEDIAN($E9:$G9))/MEDIAN($E9:$G9)+ABS($F17-MEDIAN($E17:$G17))/MEDIAN($E17:$G17),ABS($G9-MEDIAN($E9:$G9))/MEDIAN($E9:$G9)+ABS($G17-MEDIAN($E17:$G17))/MEDIAN($E17:$G17)))</formula>
    </cfRule>
  </conditionalFormatting>
  <conditionalFormatting sqref="E25:G30">
    <cfRule type="expression" dxfId="47" priority="3">
      <formula>AND(COUNT($E9:$G9)=3,COUNT($E17:$G17)=3,(ABS(E9-MEDIAN($E9:$G9))/MEDIAN($E9:$G9)+ABS(E17-MEDIAN($E17:$G17))/MEDIAN($E17:$G17))&lt;=MEDIAN(ABS($E9-MEDIAN($E9:$G9))/MEDIAN($E9:$G9)+ABS($E17-MEDIAN($E17:$G17))/MEDIAN($E17:$G17),ABS($F9-MEDIAN($E9:$G9))/MEDIAN($E9:$G9)+ABS($F17-MEDIAN($E17:$G17))/MEDIAN($E17:$G17),ABS($G9-MEDIAN($E9:$G9))/MEDIAN($E9:$G9)+ABS($G17-MEDIAN($E17:$G17))/MEDIAN($E17:$G17)))</formula>
    </cfRule>
  </conditionalFormatting>
  <conditionalFormatting sqref="K5">
    <cfRule type="expression" dxfId="46" priority="7">
      <formula>AND(ISNUMBER(K5),ABS(K5)&gt;1)</formula>
    </cfRule>
  </conditionalFormatting>
  <conditionalFormatting sqref="K7:K8">
    <cfRule type="expression" dxfId="45" priority="9">
      <formula>AND(ISNUMBER(K7),ABS(K7)&gt;2)</formula>
    </cfRule>
  </conditionalFormatting>
  <conditionalFormatting sqref="K23:K24">
    <cfRule type="expression" dxfId="44" priority="11">
      <formula>AND(ISNUMBER(K23),ABS(K23)&gt;2)</formula>
    </cfRule>
  </conditionalFormatting>
  <conditionalFormatting sqref="L15:L16">
    <cfRule type="expression" dxfId="43" priority="13">
      <formula>AND(ISNUMBER(L15),ABS(L15)&gt;1)</formula>
    </cfRule>
  </conditionalFormatting>
  <conditionalFormatting sqref="Q9:S14">
    <cfRule type="expression" dxfId="42" priority="4">
      <formula>AND(COUNT($Q9:$S9)=3,COUNT($Q17:$S17)=3,(ABS(Q9-MEDIAN($Q9:$S9))/MEDIAN($Q9:$S9)+ABS(Q17-MEDIAN($Q17:$S17))/MEDIAN($Q17:$S17))&lt;=MEDIAN(ABS($Q9-MEDIAN($Q9:$S9))/MEDIAN($Q9:$S9)+ABS($Q17-MEDIAN($Q17:$S17))/MEDIAN($Q17:$S17),ABS($R9-MEDIAN($Q9:$S9))/MEDIAN($Q9:$S9)+ABS($R17-MEDIAN($Q17:$S17))/MEDIAN($Q17:$S17),ABS($S9-MEDIAN($Q9:$S9))/MEDIAN($Q9:$S9)+ABS($S17-MEDIAN($Q17:$S17))/MEDIAN($Q17:$S17)))</formula>
    </cfRule>
  </conditionalFormatting>
  <conditionalFormatting sqref="Q17:S22">
    <cfRule type="expression" dxfId="41" priority="5">
      <formula>AND(COUNT($Q9:$S9)=3,COUNT($Q17:$S17)=3,(ABS(Q9-MEDIAN($Q9:$S9))/MEDIAN($Q9:$S9)+ABS(Q17-MEDIAN($Q17:$S17))/MEDIAN($Q17:$S17))&lt;=MEDIAN(ABS($Q9-MEDIAN($Q9:$S9))/MEDIAN($Q9:$S9)+ABS($Q17-MEDIAN($Q17:$S17))/MEDIAN($Q17:$S17),ABS($R9-MEDIAN($Q9:$S9))/MEDIAN($Q9:$S9)+ABS($R17-MEDIAN($Q17:$S17))/MEDIAN($Q17:$S17),ABS($S9-MEDIAN($Q9:$S9))/MEDIAN($Q9:$S9)+ABS($S17-MEDIAN($Q17:$S17))/MEDIAN($Q17:$S17)))</formula>
    </cfRule>
  </conditionalFormatting>
  <conditionalFormatting sqref="Q25:S30">
    <cfRule type="expression" dxfId="40" priority="6">
      <formula>AND(COUNT($Q9:$S9)=3,COUNT($Q17:$S17)=3,(ABS(Q9-MEDIAN($Q9:$S9))/MEDIAN($Q9:$S9)+ABS(Q17-MEDIAN($Q17:$S17))/MEDIAN($Q17:$S17))&lt;=MEDIAN(ABS($Q9-MEDIAN($Q9:$S9))/MEDIAN($Q9:$S9)+ABS($Q17-MEDIAN($Q17:$S17))/MEDIAN($Q17:$S17),ABS($R9-MEDIAN($Q9:$S9))/MEDIAN($Q9:$S9)+ABS($R17-MEDIAN($Q17:$S17))/MEDIAN($Q17:$S17),ABS($S9-MEDIAN($Q9:$S9))/MEDIAN($Q9:$S9)+ABS($S17-MEDIAN($Q17:$S17))/MEDIAN($Q17:$S17)))</formula>
    </cfRule>
  </conditionalFormatting>
  <conditionalFormatting sqref="W5">
    <cfRule type="expression" dxfId="39" priority="8">
      <formula>AND(ISNUMBER(W5),ABS(W5)&gt;1)</formula>
    </cfRule>
  </conditionalFormatting>
  <conditionalFormatting sqref="W7">
    <cfRule type="expression" dxfId="38" priority="10">
      <formula>AND(ISNUMBER(W7),ABS(W7)&gt;2)</formula>
    </cfRule>
  </conditionalFormatting>
  <conditionalFormatting sqref="W23">
    <cfRule type="expression" dxfId="37" priority="12">
      <formula>AND(ISNUMBER(W23),ABS(W23)&gt;2)</formula>
    </cfRule>
  </conditionalFormatting>
  <conditionalFormatting sqref="X15">
    <cfRule type="expression" dxfId="36" priority="14">
      <formula>AND(ISNUMBER(X15),ABS(X15)&gt;1)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A112-834A-4F13-80EA-45AF901A21C6}">
  <dimension ref="B1:AY83"/>
  <sheetViews>
    <sheetView tabSelected="1" zoomScale="80" zoomScaleNormal="80" workbookViewId="0">
      <pane ySplit="14" topLeftCell="A18" activePane="bottomLeft" state="frozen"/>
      <selection pane="bottomLeft" activeCell="C4" sqref="C4:G4"/>
    </sheetView>
  </sheetViews>
  <sheetFormatPr defaultRowHeight="17.600000000000001" outlineLevelCol="1"/>
  <cols>
    <col min="1" max="1" width="2" customWidth="1"/>
    <col min="2" max="2" width="15.85546875" customWidth="1"/>
    <col min="3" max="3" width="19.92578125" customWidth="1"/>
    <col min="4" max="7" width="10.640625" customWidth="1"/>
    <col min="8" max="8" width="15.85546875" customWidth="1"/>
    <col min="9" max="12" width="10.640625" customWidth="1"/>
    <col min="13" max="16" width="11.640625" customWidth="1"/>
    <col min="17" max="17" width="2.35546875" customWidth="1"/>
    <col min="18" max="18" width="15.85546875" customWidth="1"/>
    <col min="19" max="19" width="12" customWidth="1"/>
    <col min="20" max="28" width="10.640625" customWidth="1"/>
    <col min="29" max="32" width="11.640625" customWidth="1"/>
    <col min="36" max="37" width="15" customWidth="1"/>
    <col min="39" max="51" width="9.140625" outlineLevel="1"/>
  </cols>
  <sheetData>
    <row r="1" spans="2:43" ht="21.45">
      <c r="B1" s="147" t="s">
        <v>146</v>
      </c>
    </row>
    <row r="2" spans="2:43">
      <c r="B2" s="149" t="s">
        <v>207</v>
      </c>
    </row>
    <row r="3" spans="2:43">
      <c r="AK3" s="175" t="s">
        <v>217</v>
      </c>
    </row>
    <row r="4" spans="2:43">
      <c r="B4" s="148" t="s">
        <v>147</v>
      </c>
      <c r="C4" s="179" t="s">
        <v>224</v>
      </c>
      <c r="D4" s="179"/>
      <c r="E4" s="179"/>
      <c r="F4" s="179"/>
      <c r="G4" s="179"/>
      <c r="AJ4" s="175" t="s">
        <v>230</v>
      </c>
      <c r="AK4" t="s">
        <v>218</v>
      </c>
    </row>
    <row r="5" spans="2:43">
      <c r="B5" s="148" t="s">
        <v>148</v>
      </c>
      <c r="C5" t="str">
        <f>IF($C$8="ALL","제외 없이 R1·R2·R3 전체 평균을 사용합니다(선택 미적용·비교 참고용).",IF($C$8="MAN","부록 ⑤ 표의 S열에 검체·Day별로 제외할 replicate(R1/R2/R3)를 직접 지정합니다.",IF($C$8="PAIR","BF·HDL·LDL 상대간격의 합이 가장 작은 2개(가장 근접한 쌍)를 채택합니다.",IF(LEFT($C$8,3)="DIR","방향성 what-if: "&amp;$C$4&amp;" — 정밀도가 아닌 값의 크기로 2개를 채택하므로 민감도 확인 전용입니다.","median 대비 상대편차(%)를 "&amp;IF($C$4=$AK$4,"BF+HDL 합산",IF($C$4=$AK$5,"LDL",IF($C$4=$AK$6,"BF",IF($C$4=$AK$7,"HDL","BF+HDL+LDL 합산"))))&amp;" 기준으로 계산해 편차가 가장 큰 replicate 1개를 제외합니다(BF·HDL·LDL 동일 R index 잠금)."))))</f>
        <v>방향성 what-if: HDL 높은값 우선 (상위 2개 채택) — 정밀도가 아닌 값의 크기로 2개를 채택하므로 민감도 확인 전용입니다.</v>
      </c>
      <c r="AJ5" s="175"/>
      <c r="AK5" t="s">
        <v>219</v>
      </c>
    </row>
    <row r="6" spans="2:43">
      <c r="B6" s="148" t="s">
        <v>149</v>
      </c>
      <c r="C6">
        <f>IF(OR($C$4=$AK$4,$C$4=$AK$6,$C$4=$AK$8),1,0)</f>
        <v>0</v>
      </c>
      <c r="D6">
        <f>IF(OR($C$4=$AK$4,$C$4=$AK$7,$C$4=$AK$8),1,0)</f>
        <v>0</v>
      </c>
      <c r="E6">
        <f>IF(OR($C$4=$AK$5,$C$4=$AK$8),1,0)</f>
        <v>0</v>
      </c>
      <c r="F6" s="149" t="s">
        <v>150</v>
      </c>
      <c r="AJ6" s="175"/>
      <c r="AK6" t="s">
        <v>220</v>
      </c>
    </row>
    <row r="7" spans="2:43">
      <c r="B7" s="148" t="s">
        <v>151</v>
      </c>
      <c r="C7" s="149" t="s">
        <v>208</v>
      </c>
      <c r="AJ7" s="175"/>
      <c r="AK7" t="s">
        <v>221</v>
      </c>
    </row>
    <row r="8" spans="2:43">
      <c r="B8" s="148" t="s">
        <v>233</v>
      </c>
      <c r="C8" s="176" t="str">
        <f>IF($C$4=$AK$9,"PAIR",IF($C$4=$AK$10,"DIR_HDL_HI",IF($C$4=$AK$11,"DIR_HDL_LO",IF($C$4=$AK$12,"DIR_BF_HI",IF($C$4=$AK$13,"DIR_BF_LO",IF($C$4=$AK$14,"ALL",IF($C$4=$AK$15,"MAN","SCORE")))))))</f>
        <v>DIR_HDL_HI</v>
      </c>
      <c r="D8" s="177" t="str">
        <f>IF($C$8="SCORE","median 대비 가중 상대편차 최대 replicate 1개 제외",IF($C$8="PAIR","잔여 2개의 상대간격 합이 최소가 되도록 1개 제외",IF($C$8="ALL","제외 없음(3반복 평균)",IF($C$8="MAN","부록 ⑤ S열 직접 입력","해당 항목 값의 크기 순으로 상위/하위 2개 채택"))))</f>
        <v>해당 항목 값의 크기 순으로 상위/하위 2개 채택</v>
      </c>
      <c r="AJ8" s="175"/>
      <c r="AK8" t="s">
        <v>222</v>
      </c>
    </row>
    <row r="9" spans="2:43">
      <c r="C9" s="166" t="str">
        <f>IF(LEFT($C$8,3)="DIR","⚠ 방향성 옵션은 결과를 유리하게 만드는 선택이 아니며 민감도 분석 전용입니다. 제출은 정밀도 기준 옵션을 사용하세요.","")</f>
        <v>⚠ 방향성 옵션은 결과를 유리하게 만드는 선택이 아니며 민감도 분석 전용입니다. 제출은 정밀도 기준 옵션을 사용하세요.</v>
      </c>
      <c r="AJ9" s="175"/>
      <c r="AK9" t="s">
        <v>223</v>
      </c>
    </row>
    <row r="10" spans="2:43" ht="18">
      <c r="B10" s="150" t="s">
        <v>210</v>
      </c>
      <c r="AJ10" s="175" t="s">
        <v>231</v>
      </c>
      <c r="AK10" t="s">
        <v>224</v>
      </c>
    </row>
    <row r="11" spans="2:43">
      <c r="AJ11" s="175"/>
      <c r="AK11" t="s">
        <v>225</v>
      </c>
    </row>
    <row r="12" spans="2:43" ht="19.75">
      <c r="B12" s="163" t="str">
        <f>'2026-07_결과정리'!B2</f>
        <v>DAY 1</v>
      </c>
      <c r="C12" s="162"/>
      <c r="D12" s="164" t="str">
        <f>'2026-07_결과정리'!D2</f>
        <v>STANDARD 제조일: 2025-10-22</v>
      </c>
      <c r="E12" s="162"/>
      <c r="F12" s="162"/>
      <c r="G12" s="162"/>
      <c r="H12" s="164" t="str">
        <f>'2026-07_결과정리'!H2</f>
        <v>* 실험일 : 2026-06-18        *실험담당 : 이현애</v>
      </c>
      <c r="I12" s="162"/>
      <c r="J12" s="162"/>
      <c r="K12" s="162"/>
      <c r="L12" s="162"/>
      <c r="R12" s="163" t="str">
        <f>'2026-07_결과정리'!N2</f>
        <v>DAY 2</v>
      </c>
      <c r="S12" s="162"/>
      <c r="T12" s="164" t="str">
        <f>'2026-07_결과정리'!P2</f>
        <v>STANDARD 제조일: 2025-10-22</v>
      </c>
      <c r="U12" s="162"/>
      <c r="V12" s="162"/>
      <c r="W12" s="162"/>
      <c r="X12" s="164" t="str">
        <f>'2026-07_결과정리'!T2</f>
        <v>* 실험일 : 2026-06-24        *실험담당 : 이현애</v>
      </c>
      <c r="Y12" s="162"/>
      <c r="Z12" s="162"/>
      <c r="AA12" s="162"/>
      <c r="AB12" s="162"/>
      <c r="AJ12" s="175"/>
      <c r="AK12" t="s">
        <v>226</v>
      </c>
    </row>
    <row r="13" spans="2:43">
      <c r="H13" s="165" t="str">
        <f>'2026-07_결과정리'!H3</f>
        <v>* Abs 측정장비 :Shimadzu UV-2700</v>
      </c>
      <c r="X13" s="165" t="str">
        <f>'2026-07_결과정리'!T3</f>
        <v>* Abs 측정장비 :Shimadzu UV-2700</v>
      </c>
      <c r="AJ13" s="175"/>
      <c r="AK13" t="s">
        <v>227</v>
      </c>
    </row>
    <row r="14" spans="2:43" ht="28" customHeight="1">
      <c r="B14" s="152" t="s">
        <v>211</v>
      </c>
      <c r="C14" s="152" t="s">
        <v>152</v>
      </c>
      <c r="D14" s="152" t="s">
        <v>22</v>
      </c>
      <c r="E14" s="152" t="s">
        <v>23</v>
      </c>
      <c r="F14" s="152" t="s">
        <v>24</v>
      </c>
      <c r="G14" s="152" t="s">
        <v>25</v>
      </c>
      <c r="H14" s="152" t="s">
        <v>212</v>
      </c>
      <c r="I14" s="152" t="s">
        <v>213</v>
      </c>
      <c r="J14" s="152" t="s">
        <v>28</v>
      </c>
      <c r="K14" s="152" t="s">
        <v>144</v>
      </c>
      <c r="L14" s="151" t="s">
        <v>145</v>
      </c>
      <c r="M14" s="181" t="s">
        <v>241</v>
      </c>
      <c r="N14" s="181" t="s">
        <v>242</v>
      </c>
      <c r="O14" s="181" t="s">
        <v>243</v>
      </c>
      <c r="P14" s="181" t="s">
        <v>244</v>
      </c>
      <c r="R14" s="152" t="s">
        <v>211</v>
      </c>
      <c r="S14" s="152" t="s">
        <v>152</v>
      </c>
      <c r="T14" s="152" t="s">
        <v>22</v>
      </c>
      <c r="U14" s="152" t="s">
        <v>23</v>
      </c>
      <c r="V14" s="152" t="s">
        <v>24</v>
      </c>
      <c r="W14" s="152" t="s">
        <v>25</v>
      </c>
      <c r="X14" s="152" t="s">
        <v>212</v>
      </c>
      <c r="Y14" s="152" t="s">
        <v>213</v>
      </c>
      <c r="Z14" s="152" t="s">
        <v>28</v>
      </c>
      <c r="AA14" s="152" t="s">
        <v>144</v>
      </c>
      <c r="AB14" s="151" t="s">
        <v>145</v>
      </c>
      <c r="AC14" s="181" t="s">
        <v>241</v>
      </c>
      <c r="AD14" s="181" t="s">
        <v>242</v>
      </c>
      <c r="AE14" s="181" t="s">
        <v>243</v>
      </c>
      <c r="AF14" s="181" t="s">
        <v>244</v>
      </c>
      <c r="AJ14" s="175" t="s">
        <v>232</v>
      </c>
      <c r="AK14" t="s">
        <v>228</v>
      </c>
      <c r="AM14" t="s">
        <v>154</v>
      </c>
      <c r="AN14" t="s">
        <v>245</v>
      </c>
      <c r="AO14" t="s">
        <v>246</v>
      </c>
      <c r="AP14" t="s">
        <v>247</v>
      </c>
      <c r="AQ14" t="s">
        <v>248</v>
      </c>
    </row>
    <row r="15" spans="2:43">
      <c r="B15" s="167" t="str">
        <f>IF('2026-07_결과정리'!B5="","",'2026-07_결과정리'!B5)</f>
        <v>QC</v>
      </c>
      <c r="C15" s="171" t="str">
        <f>IF('2026-07_결과정리'!C5="","",'2026-07_결과정리'!C5)</f>
        <v>NIST1</v>
      </c>
      <c r="D15" s="154">
        <f>IF('2026-07_결과정리'!D5="","",'2026-07_결과정리'!D5)</f>
        <v>154.6</v>
      </c>
      <c r="E15" s="160">
        <f>IF('2026-07_결과정리'!E5="","",'2026-07_결과정리'!E5)</f>
        <v>154.4512933406715</v>
      </c>
      <c r="F15" s="160">
        <f>IF('2026-07_결과정리'!F5="","",'2026-07_결과정리'!F5)</f>
        <v>154.4512933406715</v>
      </c>
      <c r="G15" s="160">
        <f>IF('2026-07_결과정리'!G5="","",'2026-07_결과정리'!G5)</f>
        <v>155.662080352229</v>
      </c>
      <c r="H15" s="154" cm="1">
        <f t="array" ref="H15">IF($E15="","",IF($AN15=0,AVERAGE($E15:$G15),(SUM($E15:$G15)-INDEX($E15:$G15,$AN15))/2))</f>
        <v>154.85488901119066</v>
      </c>
      <c r="I15" s="154">
        <f>IF($E15="","",IF($AN15=0,STDEV($E15:$G15),ABS(CHOOSE($AN15,$F15-$G15,$E15-$G15,$E15-$F15))/SQRT(2)))</f>
        <v>0.69904820705402493</v>
      </c>
      <c r="J15" s="155">
        <f>IF($H15="","",$I15/$H15*100)</f>
        <v>0.45142146400266886</v>
      </c>
      <c r="K15" s="154">
        <f>IF(OR($H15="",$D15=""),"",($H15-$D15)/$D15*100)</f>
        <v>0.16486999430185648</v>
      </c>
      <c r="L15" s="180"/>
      <c r="M15" s="183" t="str" cm="1">
        <f t="array" ref="M15">IF(OR($E15="",$AM15=0),"",(SUM($E15:$G15)-INDEX($E15:$G15,$AP15))/2)</f>
        <v/>
      </c>
      <c r="N15" s="184" t="str">
        <f>IF($M15="","",$H15-$M15)</f>
        <v/>
      </c>
      <c r="O15" s="185" t="str">
        <f>IF($M15="","",ABS(CHOOSE($AP15,$F15-$G15,$E15-$G15,$E15-$F15))/SQRT(2)/$M15*100)</f>
        <v/>
      </c>
      <c r="P15" s="186" t="str">
        <f>IF($O15="","",ROUND($J15-$O15,3))</f>
        <v/>
      </c>
      <c r="R15" s="167" t="str">
        <f>IF('2026-07_결과정리'!N5="","",'2026-07_결과정리'!N5)</f>
        <v>QC</v>
      </c>
      <c r="S15" s="171" t="str">
        <f>IF('2026-07_결과정리'!O5="","",'2026-07_결과정리'!O5)</f>
        <v>NIST2</v>
      </c>
      <c r="T15" s="154">
        <f>IF('2026-07_결과정리'!P5="","",'2026-07_결과정리'!P5)</f>
        <v>244.8</v>
      </c>
      <c r="U15" s="160">
        <f>IF('2026-07_결과정리'!Q5="","",'2026-07_결과정리'!Q5)</f>
        <v>244.9259055982437</v>
      </c>
      <c r="V15" s="160">
        <f>IF('2026-07_결과정리'!R5="","",'2026-07_결과정리'!R5)</f>
        <v>245.85894621295279</v>
      </c>
      <c r="W15" s="160">
        <f>IF('2026-07_결과정리'!S5="","",'2026-07_결과정리'!S5)</f>
        <v>245.80406147091111</v>
      </c>
      <c r="X15" s="154" cm="1">
        <f t="array" ref="X15">IF($U15="","",IF($AO15=0,AVERAGE($U15:$W15),(SUM($U15:$W15)-INDEX($U15:$W15,$AO15))/2))</f>
        <v>245.52963776070251</v>
      </c>
      <c r="Y15" s="154">
        <f>IF($U15="","",IF($AO15=0,STDEV($U15:$W15),ABS(CHOOSE($AO15,$V15-$W15,$U15-$W15,$U15-$V15))/SQRT(2)))</f>
        <v>0.52356706993245605</v>
      </c>
      <c r="Z15" s="155">
        <f>IF($X15="","",$Y15/$X15*100)</f>
        <v>0.21323986574799317</v>
      </c>
      <c r="AA15" s="154">
        <f>IF(OR($X15="",$T15=""),"",($X15-$T15)/$T15*100)</f>
        <v>0.29805464080984567</v>
      </c>
      <c r="AB15" s="180"/>
      <c r="AC15" s="183" t="str" cm="1">
        <f t="array" ref="AC15">IF(OR($U15="",$AM15=0),"",(SUM($U15:$W15)-INDEX($U15:$W15,$AQ15))/2)</f>
        <v/>
      </c>
      <c r="AD15" s="184" t="str">
        <f>IF($AC15="","",$X15-$AC15)</f>
        <v/>
      </c>
      <c r="AE15" s="185" t="str">
        <f>IF($AC15="","",ABS(CHOOSE($AQ15,$V15-$W15,$U15-$W15,$U15-$V15))/SQRT(2)/$AC15*100)</f>
        <v/>
      </c>
      <c r="AF15" s="186" t="str">
        <f>IF($AE15="","",ROUND($Z15-$AE15,3))</f>
        <v/>
      </c>
      <c r="AJ15" s="175"/>
      <c r="AK15" t="s">
        <v>229</v>
      </c>
      <c r="AM15">
        <v>0</v>
      </c>
      <c r="AN15" cm="1">
        <f t="array" ref="AN15">IF($AM15=0,0,INDEX($U$72:$U$83,2*$AM15-1))</f>
        <v>0</v>
      </c>
      <c r="AO15" cm="1">
        <f t="array" ref="AO15">IF($AM15=0,0,INDEX($U$72:$U$83,2*$AM15))</f>
        <v>0</v>
      </c>
      <c r="AP15" cm="1">
        <f t="array" ref="AP15">IF($AM15=0,0,INDEX($AY$72:$AY$83,2*$AM15-1))</f>
        <v>0</v>
      </c>
      <c r="AQ15" cm="1">
        <f t="array" ref="AQ15">IF($AM15=0,0,INDEX($AY$72:$AY$83,2*$AM15))</f>
        <v>0</v>
      </c>
    </row>
    <row r="16" spans="2:43">
      <c r="B16" s="153" t="str">
        <f>IF('2026-07_결과정리'!B6="","",'2026-07_결과정리'!B6)</f>
        <v/>
      </c>
      <c r="C16" s="158" t="str">
        <f>IF('2026-07_결과정리'!C6="","",'2026-07_결과정리'!C6)</f>
        <v/>
      </c>
      <c r="D16" s="154" t="str">
        <f>IF('2026-07_결과정리'!D6="","",'2026-07_결과정리'!D6)</f>
        <v/>
      </c>
      <c r="E16" s="160" t="str">
        <f>IF('2026-07_결과정리'!E6="","",'2026-07_결과정리'!E6)</f>
        <v/>
      </c>
      <c r="F16" s="160" t="str">
        <f>IF('2026-07_결과정리'!F6="","",'2026-07_결과정리'!F6)</f>
        <v/>
      </c>
      <c r="G16" s="160" t="str">
        <f>IF('2026-07_결과정리'!G6="","",'2026-07_결과정리'!G6)</f>
        <v/>
      </c>
      <c r="H16" s="154" t="str" cm="1">
        <f t="array" ref="H16">IF($E16="","",IF($AN16=0,AVERAGE($E16:$G16),(SUM($E16:$G16)-INDEX($E16:$G16,$AN16))/2))</f>
        <v/>
      </c>
      <c r="I16" s="154" t="str">
        <f>IF($E16="","",IF($AN16=0,STDEV($E16:$G16),ABS(CHOOSE($AN16,$F16-$G16,$E16-$G16,$E16-$F16))/SQRT(2)))</f>
        <v/>
      </c>
      <c r="J16" s="155" t="str">
        <f>IF($H16="","",$I16/$H16*100)</f>
        <v/>
      </c>
      <c r="K16" s="154" t="str">
        <f>IF(OR($H16="",$D16=""),"",($H16-$D16)/$D16*100)</f>
        <v/>
      </c>
      <c r="L16" s="180" t="str">
        <f>IF(OR($H16="",$D16=""),"",$H16-$D16)</f>
        <v/>
      </c>
      <c r="M16" s="183" t="str" cm="1">
        <f t="array" ref="M16">IF(OR($E16="",$AM16=0),"",(SUM($E16:$G16)-INDEX($E16:$G16,$AP16))/2)</f>
        <v/>
      </c>
      <c r="N16" s="184" t="str">
        <f>IF($M16="","",$H16-$M16)</f>
        <v/>
      </c>
      <c r="O16" s="185" t="str">
        <f>IF($M16="","",ABS(CHOOSE($AP16,$F16-$G16,$E16-$G16,$E16-$F16))/SQRT(2)/$M16*100)</f>
        <v/>
      </c>
      <c r="P16" s="186" t="str">
        <f>IF($O16="","",ROUND($J16-$O16,3))</f>
        <v/>
      </c>
      <c r="R16" s="153" t="str">
        <f>IF('2026-07_결과정리'!N6="","",'2026-07_결과정리'!N6)</f>
        <v/>
      </c>
      <c r="S16" s="158" t="str">
        <f>IF('2026-07_결과정리'!O6="","",'2026-07_결과정리'!O6)</f>
        <v/>
      </c>
      <c r="T16" s="154" t="str">
        <f>IF('2026-07_결과정리'!P6="","",'2026-07_결과정리'!P6)</f>
        <v/>
      </c>
      <c r="U16" s="160" t="str">
        <f>IF('2026-07_결과정리'!Q6="","",'2026-07_결과정리'!Q6)</f>
        <v/>
      </c>
      <c r="V16" s="160" t="str">
        <f>IF('2026-07_결과정리'!R6="","",'2026-07_결과정리'!R6)</f>
        <v/>
      </c>
      <c r="W16" s="160" t="str">
        <f>IF('2026-07_결과정리'!S6="","",'2026-07_결과정리'!S6)</f>
        <v/>
      </c>
      <c r="X16" s="154" t="str" cm="1">
        <f t="array" ref="X16">IF($U16="","",IF($AO16=0,AVERAGE($U16:$W16),(SUM($U16:$W16)-INDEX($U16:$W16,$AO16))/2))</f>
        <v/>
      </c>
      <c r="Y16" s="154" t="str">
        <f>IF($U16="","",IF($AO16=0,STDEV($U16:$W16),ABS(CHOOSE($AO16,$V16-$W16,$U16-$W16,$U16-$V16))/SQRT(2)))</f>
        <v/>
      </c>
      <c r="Z16" s="155" t="str">
        <f>IF($X16="","",$Y16/$X16*100)</f>
        <v/>
      </c>
      <c r="AA16" s="154" t="str">
        <f>IF(OR($X16="",$T16=""),"",($X16-$T16)/$T16*100)</f>
        <v/>
      </c>
      <c r="AB16" s="180" t="str">
        <f>IF(OR($X16="",$T16=""),"",$X16-$T16)</f>
        <v/>
      </c>
      <c r="AC16" s="183" t="str" cm="1">
        <f t="array" ref="AC16">IF(OR($U16="",$AM16=0),"",(SUM($U16:$W16)-INDEX($U16:$W16,$AQ16))/2)</f>
        <v/>
      </c>
      <c r="AD16" s="184" t="str">
        <f>IF($AC16="","",$X16-$AC16)</f>
        <v/>
      </c>
      <c r="AE16" s="185" t="str">
        <f>IF($AC16="","",ABS(CHOOSE($AQ16,$V16-$W16,$U16-$W16,$U16-$V16))/SQRT(2)/$AC16*100)</f>
        <v/>
      </c>
      <c r="AF16" s="186" t="str">
        <f>IF($AE16="","",ROUND($Z16-$AE16,3))</f>
        <v/>
      </c>
      <c r="AM16">
        <v>0</v>
      </c>
      <c r="AN16" cm="1">
        <f t="array" ref="AN16">IF($AM16=0,0,INDEX($U$72:$U$83,2*$AM16-1))</f>
        <v>0</v>
      </c>
      <c r="AO16" cm="1">
        <f t="array" ref="AO16">IF($AM16=0,0,INDEX($U$72:$U$83,2*$AM16))</f>
        <v>0</v>
      </c>
      <c r="AP16" cm="1">
        <f t="array" ref="AP16">IF($AM16=0,0,INDEX($AY$72:$AY$83,2*$AM16-1))</f>
        <v>0</v>
      </c>
      <c r="AQ16" cm="1">
        <f t="array" ref="AQ16">IF($AM16=0,0,INDEX($AY$72:$AY$83,2*$AM16))</f>
        <v>0</v>
      </c>
    </row>
    <row r="17" spans="2:43">
      <c r="B17" s="168" t="str">
        <f>IF('2026-07_결과정리'!B7="","",'2026-07_결과정리'!B7)</f>
        <v>BF Control</v>
      </c>
      <c r="C17" s="172" t="str">
        <f>IF('2026-07_결과정리'!C7="","",'2026-07_결과정리'!C7)</f>
        <v>CFS 21-01</v>
      </c>
      <c r="D17" s="154">
        <f>IF('2026-07_결과정리'!D7="","",'2026-07_결과정리'!D7)</f>
        <v>169.55748014573379</v>
      </c>
      <c r="E17" s="160">
        <f>IF('2026-07_결과정리'!E7="","",'2026-07_결과정리'!E7)</f>
        <v>168.7605943863511</v>
      </c>
      <c r="F17" s="160">
        <f>IF('2026-07_결과정리'!F7="","",'2026-07_결과정리'!F7)</f>
        <v>171.01706108970831</v>
      </c>
      <c r="G17" s="160">
        <f>IF('2026-07_결과정리'!G7="","",'2026-07_결과정리'!G7)</f>
        <v>170.6868464501926</v>
      </c>
      <c r="H17" s="154" cm="1">
        <f t="array" ref="H17">IF($E17="","",IF($AN17=0,AVERAGE($E17:$G17),(SUM($E17:$G17)-INDEX($E17:$G17,$AN17))/2))</f>
        <v>170.15483397541735</v>
      </c>
      <c r="I17" s="154">
        <f>IF($E17="","",IF($AN17=0,STDEV($E17:$G17),ABS(CHOOSE($AN17,$F17-$G17,$E17-$G17,$E17-$F17))/SQRT(2)))</f>
        <v>1.2186830805534763</v>
      </c>
      <c r="J17" s="155">
        <f>IF($H17="","",$I17/$H17*100)</f>
        <v>0.71622007561039513</v>
      </c>
      <c r="K17" s="154">
        <f>IF(OR($H17="",$D17=""),"",($H17-$D17)/$D17*100)</f>
        <v>0.35230166735795621</v>
      </c>
      <c r="L17" s="180">
        <f>IF(OR($H17="",$D17=""),"",$H17-$D17)</f>
        <v>0.59735382968355566</v>
      </c>
      <c r="M17" s="183" t="str" cm="1">
        <f t="array" ref="M17">IF(OR($E17="",$AM17=0),"",(SUM($E17:$G17)-INDEX($E17:$G17,$AP17))/2)</f>
        <v/>
      </c>
      <c r="N17" s="184" t="str">
        <f>IF($M17="","",$H17-$M17)</f>
        <v/>
      </c>
      <c r="O17" s="185" t="str">
        <f>IF($M17="","",ABS(CHOOSE($AP17,$F17-$G17,$E17-$G17,$E17-$F17))/SQRT(2)/$M17*100)</f>
        <v/>
      </c>
      <c r="P17" s="186" t="str">
        <f>IF($O17="","",ROUND($J17-$O17,3))</f>
        <v/>
      </c>
      <c r="R17" s="168" t="str">
        <f>IF('2026-07_결과정리'!N7="","",'2026-07_결과정리'!N7)</f>
        <v>BF Control</v>
      </c>
      <c r="S17" s="172" t="str">
        <f>IF('2026-07_결과정리'!O7="","",'2026-07_결과정리'!O7)</f>
        <v>CFS 21-01</v>
      </c>
      <c r="T17" s="154">
        <f>IF('2026-07_결과정리'!P7="","",'2026-07_결과정리'!P7)</f>
        <v>169.55748014573379</v>
      </c>
      <c r="U17" s="160">
        <f>IF('2026-07_결과정리'!Q7="","",'2026-07_결과정리'!Q7)</f>
        <v>170.11800219538969</v>
      </c>
      <c r="V17" s="160">
        <f>IF('2026-07_결과정리'!R7="","",'2026-07_결과정리'!R7)</f>
        <v>171.92919868276621</v>
      </c>
      <c r="W17" s="160">
        <f>IF('2026-07_결과정리'!S7="","",'2026-07_결과정리'!S7)</f>
        <v>170.77661909989021</v>
      </c>
      <c r="X17" s="154" cm="1">
        <f t="array" ref="X17">IF($U17="","",IF($AO17=0,AVERAGE($U17:$W17),(SUM($U17:$W17)-INDEX($U17:$W17,$AO17))/2))</f>
        <v>170.94127332601536</v>
      </c>
      <c r="Y17" s="154">
        <f>IF($U17="","",IF($AO17=0,STDEV($U17:$W17),ABS(CHOOSE($AO17,$V17-$W17,$U17-$W17,$U17-$V17))/SQRT(2)))</f>
        <v>0.91675593240890352</v>
      </c>
      <c r="Z17" s="155">
        <f>IF($X17="","",$Y17/$X17*100)</f>
        <v>0.5362987618914522</v>
      </c>
      <c r="AA17" s="154">
        <f>IF(OR($X17="",$T17=""),"",($X17-$T17)/$T17*100)</f>
        <v>0.81612039710203788</v>
      </c>
      <c r="AB17" s="180">
        <f>IF(OR($X17="",$T17=""),"",$X17-$T17)</f>
        <v>1.3837931802815717</v>
      </c>
      <c r="AC17" s="183" t="str" cm="1">
        <f t="array" ref="AC17">IF(OR($U17="",$AM17=0),"",(SUM($U17:$W17)-INDEX($U17:$W17,$AQ17))/2)</f>
        <v/>
      </c>
      <c r="AD17" s="184" t="str">
        <f>IF($AC17="","",$X17-$AC17)</f>
        <v/>
      </c>
      <c r="AE17" s="185" t="str">
        <f>IF($AC17="","",ABS(CHOOSE($AQ17,$V17-$W17,$U17-$W17,$U17-$V17))/SQRT(2)/$AC17*100)</f>
        <v/>
      </c>
      <c r="AF17" s="186" t="str">
        <f>IF($AE17="","",ROUND($Z17-$AE17,3))</f>
        <v/>
      </c>
      <c r="AM17">
        <v>0</v>
      </c>
      <c r="AN17" cm="1">
        <f t="array" ref="AN17">IF($AM17=0,0,INDEX($U$72:$U$83,2*$AM17-1))</f>
        <v>0</v>
      </c>
      <c r="AO17" cm="1">
        <f t="array" ref="AO17">IF($AM17=0,0,INDEX($U$72:$U$83,2*$AM17))</f>
        <v>0</v>
      </c>
      <c r="AP17" cm="1">
        <f t="array" ref="AP17">IF($AM17=0,0,INDEX($AY$72:$AY$83,2*$AM17-1))</f>
        <v>0</v>
      </c>
      <c r="AQ17" cm="1">
        <f t="array" ref="AQ17">IF($AM17=0,0,INDEX($AY$72:$AY$83,2*$AM17))</f>
        <v>0</v>
      </c>
    </row>
    <row r="18" spans="2:43">
      <c r="B18" s="168" t="str">
        <f>IF('2026-07_결과정리'!B8="","",'2026-07_결과정리'!B8)</f>
        <v/>
      </c>
      <c r="C18" s="172" t="str">
        <f>IF('2026-07_결과정리'!C8="","",'2026-07_결과정리'!C8)</f>
        <v>Q2</v>
      </c>
      <c r="D18" s="154">
        <f>IF('2026-07_결과정리'!D8="","",'2026-07_결과정리'!D8)</f>
        <v>196.2</v>
      </c>
      <c r="E18" s="160">
        <f>IF('2026-07_결과정리'!E8="","",'2026-07_결과정리'!E8)</f>
        <v>198.75509080902589</v>
      </c>
      <c r="F18" s="160">
        <f>IF('2026-07_결과정리'!F8="","",'2026-07_결과정리'!F8)</f>
        <v>198.75509080902589</v>
      </c>
      <c r="G18" s="160">
        <f>IF('2026-07_결과정리'!G8="","",'2026-07_결과정리'!G8)</f>
        <v>198.53494771601541</v>
      </c>
      <c r="H18" s="154" cm="1">
        <f t="array" ref="H18">IF($E18="","",IF($AN18=0,AVERAGE($E18:$G18),(SUM($E18:$G18)-INDEX($E18:$G18,$AN18))/2))</f>
        <v>198.68170977802239</v>
      </c>
      <c r="I18" s="154">
        <f>IF($E18="","",IF($AN18=0,STDEV($E18:$G18),ABS(CHOOSE($AN18,$F18-$G18,$E18-$G18,$E18-$F18))/SQRT(2)))</f>
        <v>0.12709967400983613</v>
      </c>
      <c r="J18" s="155">
        <f>IF($H18="","",$I18/$H18*100)</f>
        <v>6.3971502032994648E-2</v>
      </c>
      <c r="K18" s="154">
        <f>IF(OR($H18="",$D18=""),"",($H18-$D18)/$D18*100)</f>
        <v>1.2648877563824701</v>
      </c>
      <c r="L18" s="180">
        <f>IF(OR($H18="",$D18=""),"",$H18-$D18)</f>
        <v>2.481709778022406</v>
      </c>
      <c r="M18" s="183" t="str" cm="1">
        <f t="array" ref="M18">IF(OR($E18="",$AM18=0),"",(SUM($E18:$G18)-INDEX($E18:$G18,$AP18))/2)</f>
        <v/>
      </c>
      <c r="N18" s="184" t="str">
        <f>IF($M18="","",$H18-$M18)</f>
        <v/>
      </c>
      <c r="O18" s="185" t="str">
        <f>IF($M18="","",ABS(CHOOSE($AP18,$F18-$G18,$E18-$G18,$E18-$F18))/SQRT(2)/$M18*100)</f>
        <v/>
      </c>
      <c r="P18" s="186" t="str">
        <f>IF($O18="","",ROUND($J18-$O18,3))</f>
        <v/>
      </c>
      <c r="R18" s="168" t="str">
        <f>IF('2026-07_결과정리'!N8="","",'2026-07_결과정리'!N8)</f>
        <v/>
      </c>
      <c r="S18" s="172" t="str">
        <f>IF('2026-07_결과정리'!O8="","",'2026-07_결과정리'!O8)</f>
        <v/>
      </c>
      <c r="T18" s="154" t="str">
        <f>IF('2026-07_결과정리'!P8="","",'2026-07_결과정리'!P8)</f>
        <v/>
      </c>
      <c r="U18" s="160" t="str">
        <f>IF('2026-07_결과정리'!Q8="","",'2026-07_결과정리'!Q8)</f>
        <v/>
      </c>
      <c r="V18" s="160" t="str">
        <f>IF('2026-07_결과정리'!R8="","",'2026-07_결과정리'!R8)</f>
        <v/>
      </c>
      <c r="W18" s="160" t="str">
        <f>IF('2026-07_결과정리'!S8="","",'2026-07_결과정리'!S8)</f>
        <v/>
      </c>
      <c r="X18" s="154" t="str" cm="1">
        <f t="array" ref="X18">IF($U18="","",IF($AO18=0,AVERAGE($U18:$W18),(SUM($U18:$W18)-INDEX($U18:$W18,$AO18))/2))</f>
        <v/>
      </c>
      <c r="Y18" s="154" t="str">
        <f>IF($U18="","",IF($AO18=0,STDEV($U18:$W18),ABS(CHOOSE($AO18,$V18-$W18,$U18-$W18,$U18-$V18))/SQRT(2)))</f>
        <v/>
      </c>
      <c r="Z18" s="155" t="str">
        <f>IF($X18="","",$Y18/$X18*100)</f>
        <v/>
      </c>
      <c r="AA18" s="154" t="str">
        <f>IF(OR($X18="",$T18=""),"",($X18-$T18)/$T18*100)</f>
        <v/>
      </c>
      <c r="AB18" s="180" t="str">
        <f>IF(OR($X18="",$T18=""),"",$X18-$T18)</f>
        <v/>
      </c>
      <c r="AC18" s="183" t="str" cm="1">
        <f t="array" ref="AC18">IF(OR($U18="",$AM18=0),"",(SUM($U18:$W18)-INDEX($U18:$W18,$AQ18))/2)</f>
        <v/>
      </c>
      <c r="AD18" s="184" t="str">
        <f>IF($AC18="","",$X18-$AC18)</f>
        <v/>
      </c>
      <c r="AE18" s="185" t="str">
        <f>IF($AC18="","",ABS(CHOOSE($AQ18,$V18-$W18,$U18-$W18,$U18-$V18))/SQRT(2)/$AC18*100)</f>
        <v/>
      </c>
      <c r="AF18" s="186" t="str">
        <f>IF($AE18="","",ROUND($Z18-$AE18,3))</f>
        <v/>
      </c>
      <c r="AM18">
        <v>0</v>
      </c>
      <c r="AN18" cm="1">
        <f t="array" ref="AN18">IF($AM18=0,0,INDEX($U$72:$U$83,2*$AM18-1))</f>
        <v>0</v>
      </c>
      <c r="AO18" cm="1">
        <f t="array" ref="AO18">IF($AM18=0,0,INDEX($U$72:$U$83,2*$AM18))</f>
        <v>0</v>
      </c>
      <c r="AP18" cm="1">
        <f t="array" ref="AP18">IF($AM18=0,0,INDEX($AY$72:$AY$83,2*$AM18-1))</f>
        <v>0</v>
      </c>
      <c r="AQ18" cm="1">
        <f t="array" ref="AQ18">IF($AM18=0,0,INDEX($AY$72:$AY$83,2*$AM18))</f>
        <v>0</v>
      </c>
    </row>
    <row r="19" spans="2:43">
      <c r="B19" s="168" t="str">
        <f>IF('2026-07_결과정리'!B9="","",'2026-07_결과정리'!B9)</f>
        <v>BF Sample</v>
      </c>
      <c r="C19" s="172" t="str">
        <f>IF('2026-07_결과정리'!C9="","",'2026-07_결과정리'!C9)</f>
        <v>CS 01-01</v>
      </c>
      <c r="D19" s="154" t="str">
        <f>IF('2026-07_결과정리'!D9="","",'2026-07_결과정리'!D9)</f>
        <v/>
      </c>
      <c r="E19" s="160">
        <f>IF('2026-07_결과정리'!E9="","",'2026-07_결과정리'!E9)</f>
        <v>159.6796917996698</v>
      </c>
      <c r="F19" s="160">
        <f>IF('2026-07_결과정리'!F9="","",'2026-07_결과정리'!F9)</f>
        <v>160.17501375894329</v>
      </c>
      <c r="G19" s="160">
        <f>IF('2026-07_결과정리'!G9="","",'2026-07_결과정리'!G9)</f>
        <v>159.40451293340669</v>
      </c>
      <c r="H19" s="154" cm="1">
        <f t="array" ref="H19">IF($E19="","",IF($AN19=0,AVERAGE($E19:$G19),(SUM($E19:$G19)-INDEX($E19:$G19,$AN19))/2))</f>
        <v>159.78976334617499</v>
      </c>
      <c r="I19" s="154">
        <f>IF($E19="","",IF($AN19=0,STDEV($E19:$G19),ABS(CHOOSE($AN19,$F19-$G19,$E19-$G19,$E19-$F19))/SQRT(2)))</f>
        <v>0.54482635864676354</v>
      </c>
      <c r="J19" s="155">
        <f>IF($H19="","",$I19/$H19*100)</f>
        <v>0.34096449436903525</v>
      </c>
      <c r="K19" s="154" t="str">
        <f>IF(OR($H19="",$D19=""),"",($H19-$D19)/$D19*100)</f>
        <v/>
      </c>
      <c r="L19" s="180" t="str">
        <f>IF(OR($H19="",$D19=""),"",$H19-$D19)</f>
        <v/>
      </c>
      <c r="M19" s="183" cm="1">
        <f t="array" ref="M19">IF(OR($E19="",$AM19=0),"",(SUM($E19:$G19)-INDEX($E19:$G19,$AP19))/2)</f>
        <v>159.92735277930655</v>
      </c>
      <c r="N19" s="184">
        <f>IF($M19="","",$H19-$M19)</f>
        <v>-0.13758943313155214</v>
      </c>
      <c r="O19" s="185">
        <f>IF($M19="","",ABS(CHOOSE($AP19,$F19-$G19,$E19-$G19,$E19-$F19))/SQRT(2)/$M19*100)</f>
        <v>0.21900288486374278</v>
      </c>
      <c r="P19" s="186">
        <f>IF($O19="","",ROUND($J19-$O19,3))</f>
        <v>0.122</v>
      </c>
      <c r="R19" s="168" t="str">
        <f>IF('2026-07_결과정리'!N9="","",'2026-07_결과정리'!N9)</f>
        <v>BF Sample</v>
      </c>
      <c r="S19" s="172" t="str">
        <f>IF('2026-07_결과정리'!O9="","",'2026-07_결과정리'!O9)</f>
        <v>CS 01-01</v>
      </c>
      <c r="T19" s="154" t="str">
        <f>IF('2026-07_결과정리'!P9="","",'2026-07_결과정리'!P9)</f>
        <v/>
      </c>
      <c r="U19" s="160">
        <f>IF('2026-07_결과정리'!Q9="","",'2026-07_결과정리'!Q9)</f>
        <v>160.4034028540066</v>
      </c>
      <c r="V19" s="160">
        <f>IF('2026-07_결과정리'!R9="","",'2026-07_결과정리'!R9)</f>
        <v>160.7327113062569</v>
      </c>
      <c r="W19" s="160">
        <f>IF('2026-07_결과정리'!S9="","",'2026-07_결과정리'!S9)</f>
        <v>160.56805708013169</v>
      </c>
      <c r="X19" s="154" cm="1">
        <f t="array" ref="X19">IF($U19="","",IF($AO19=0,AVERAGE($U19:$W19),(SUM($U19:$W19)-INDEX($U19:$W19,$AO19))/2))</f>
        <v>160.48572996706918</v>
      </c>
      <c r="Y19" s="154">
        <f>IF($U19="","",IF($AO19=0,STDEV($U19:$W19),ABS(CHOOSE($AO19,$V19-$W19,$U19-$W19,$U19-$V19))/SQRT(2)))</f>
        <v>0.11642811984407735</v>
      </c>
      <c r="Z19" s="155">
        <f>IF($X19="","",$Y19/$X19*100)</f>
        <v>7.254733481161707E-2</v>
      </c>
      <c r="AA19" s="154" t="str">
        <f>IF(OR($X19="",$T19=""),"",($X19-$T19)/$T19*100)</f>
        <v/>
      </c>
      <c r="AB19" s="180" t="str">
        <f>IF(OR($X19="",$T19=""),"",$X19-$T19)</f>
        <v/>
      </c>
      <c r="AC19" s="183" cm="1">
        <f t="array" ref="AC19">IF(OR($U19="",$AM19=0),"",(SUM($U19:$W19)-INDEX($U19:$W19,$AQ19))/2)</f>
        <v>160.48572996706918</v>
      </c>
      <c r="AD19" s="184">
        <f>IF($AC19="","",$X19-$AC19)</f>
        <v>0</v>
      </c>
      <c r="AE19" s="185">
        <f>IF($AC19="","",ABS(CHOOSE($AQ19,$V19-$W19,$U19-$W19,$U19-$V19))/SQRT(2)/$AC19*100)</f>
        <v>7.254733481161707E-2</v>
      </c>
      <c r="AF19" s="186">
        <f>IF($AE19="","",ROUND($Z19-$AE19,3))</f>
        <v>0</v>
      </c>
      <c r="AM19">
        <v>1</v>
      </c>
      <c r="AN19" cm="1">
        <f t="array" ref="AN19">IF($AM19=0,0,INDEX($U$72:$U$83,2*$AM19-1))</f>
        <v>1</v>
      </c>
      <c r="AO19" cm="1">
        <f t="array" ref="AO19">IF($AM19=0,0,INDEX($U$72:$U$83,2*$AM19))</f>
        <v>2</v>
      </c>
      <c r="AP19" cm="1">
        <f t="array" ref="AP19">IF($AM19=0,0,INDEX($AY$72:$AY$83,2*$AM19-1))</f>
        <v>3</v>
      </c>
      <c r="AQ19" cm="1">
        <f t="array" ref="AQ19">IF($AM19=0,0,INDEX($AY$72:$AY$83,2*$AM19))</f>
        <v>2</v>
      </c>
    </row>
    <row r="20" spans="2:43">
      <c r="B20" s="168" t="str">
        <f>IF('2026-07_결과정리'!B10="","",'2026-07_결과정리'!B10)</f>
        <v/>
      </c>
      <c r="C20" s="172" t="str">
        <f>IF('2026-07_결과정리'!C10="","",'2026-07_결과정리'!C10)</f>
        <v>CS 01-02</v>
      </c>
      <c r="D20" s="154" t="str">
        <f>IF('2026-07_결과정리'!D10="","",'2026-07_결과정리'!D10)</f>
        <v/>
      </c>
      <c r="E20" s="160">
        <f>IF('2026-07_결과정리'!E10="","",'2026-07_결과정리'!E10)</f>
        <v>159.78976334617499</v>
      </c>
      <c r="F20" s="160">
        <f>IF('2026-07_결과정리'!F10="","",'2026-07_결과정리'!F10)</f>
        <v>160.3401210787012</v>
      </c>
      <c r="G20" s="160">
        <f>IF('2026-07_결과정리'!G10="","",'2026-07_결과정리'!G10)</f>
        <v>160.0099064391855</v>
      </c>
      <c r="H20" s="154" cm="1">
        <f t="array" ref="H20">IF($E20="","",IF($AN20=0,AVERAGE($E20:$G20),(SUM($E20:$G20)-INDEX($E20:$G20,$AN20))/2))</f>
        <v>160.17501375894335</v>
      </c>
      <c r="I20" s="154">
        <f>IF($E20="","",IF($AN20=0,STDEV($E20:$G20),ABS(CHOOSE($AN20,$F20-$G20,$E20-$G20,$E20-$F20))/SQRT(2)))</f>
        <v>0.23349701084862443</v>
      </c>
      <c r="J20" s="155">
        <f>IF($H20="","",$I20/$H20*100)</f>
        <v>0.1457761765514986</v>
      </c>
      <c r="K20" s="154" t="str">
        <f>IF(OR($H20="",$D20=""),"",($H20-$D20)/$D20*100)</f>
        <v/>
      </c>
      <c r="L20" s="180" t="str">
        <f>IF(OR($H20="",$D20=""),"",$H20-$D20)</f>
        <v/>
      </c>
      <c r="M20" s="183" cm="1">
        <f t="array" ref="M20">IF(OR($E20="",$AM20=0),"",(SUM($E20:$G20)-INDEX($E20:$G20,$AP20))/2)</f>
        <v>160.17501375894335</v>
      </c>
      <c r="N20" s="184">
        <f>IF($M20="","",$H20-$M20)</f>
        <v>0</v>
      </c>
      <c r="O20" s="185">
        <f>IF($M20="","",ABS(CHOOSE($AP20,$F20-$G20,$E20-$G20,$E20-$F20))/SQRT(2)/$M20*100)</f>
        <v>0.1457761765514986</v>
      </c>
      <c r="P20" s="186">
        <f>IF($O20="","",ROUND($J20-$O20,3))</f>
        <v>0</v>
      </c>
      <c r="R20" s="168" t="str">
        <f>IF('2026-07_결과정리'!N10="","",'2026-07_결과정리'!N10)</f>
        <v/>
      </c>
      <c r="S20" s="172" t="str">
        <f>IF('2026-07_결과정리'!O10="","",'2026-07_결과정리'!O10)</f>
        <v>CS 01-02</v>
      </c>
      <c r="T20" s="154" t="str">
        <f>IF('2026-07_결과정리'!P10="","",'2026-07_결과정리'!P10)</f>
        <v/>
      </c>
      <c r="U20" s="160">
        <f>IF('2026-07_결과정리'!Q10="","",'2026-07_결과정리'!Q10)</f>
        <v>161.17178924259059</v>
      </c>
      <c r="V20" s="160">
        <f>IF('2026-07_결과정리'!R10="","",'2026-07_결과정리'!R10)</f>
        <v>160.78759604829861</v>
      </c>
      <c r="W20" s="160">
        <f>IF('2026-07_결과정리'!S10="","",'2026-07_결과정리'!S10)</f>
        <v>159.744785949506</v>
      </c>
      <c r="X20" s="154" cm="1">
        <f t="array" ref="X20">IF($U20="","",IF($AO20=0,AVERAGE($U20:$W20),(SUM($U20:$W20)-INDEX($U20:$W20,$AO20))/2))</f>
        <v>160.26619099890232</v>
      </c>
      <c r="Y20" s="154">
        <f>IF($U20="","",IF($AO20=0,STDEV($U20:$W20),ABS(CHOOSE($AO20,$V20-$W20,$U20-$W20,$U20-$V20))/SQRT(2)))</f>
        <v>0.7373780923460711</v>
      </c>
      <c r="Z20" s="155">
        <f>IF($X20="","",$Y20/$X20*100)</f>
        <v>0.460095849130851</v>
      </c>
      <c r="AA20" s="154" t="str">
        <f>IF(OR($X20="",$T20=""),"",($X20-$T20)/$T20*100)</f>
        <v/>
      </c>
      <c r="AB20" s="180" t="str">
        <f>IF(OR($X20="",$T20=""),"",$X20-$T20)</f>
        <v/>
      </c>
      <c r="AC20" s="183" cm="1">
        <f t="array" ref="AC20">IF(OR($U20="",$AM20=0),"",(SUM($U20:$W20)-INDEX($U20:$W20,$AQ20))/2)</f>
        <v>160.97969264544463</v>
      </c>
      <c r="AD20" s="184">
        <f>IF($AC20="","",$X20-$AC20)</f>
        <v>-0.71350164654231207</v>
      </c>
      <c r="AE20" s="185">
        <f>IF($AC20="","",ABS(CHOOSE($AQ20,$V20-$W20,$U20-$W20,$U20-$V20))/SQRT(2)/$AC20*100)</f>
        <v>0.16875769142379982</v>
      </c>
      <c r="AF20" s="186">
        <f>IF($AE20="","",ROUND($Z20-$AE20,3))</f>
        <v>0.29099999999999998</v>
      </c>
      <c r="AM20">
        <v>2</v>
      </c>
      <c r="AN20" cm="1">
        <f t="array" ref="AN20">IF($AM20=0,0,INDEX($U$72:$U$83,2*$AM20-1))</f>
        <v>1</v>
      </c>
      <c r="AO20" cm="1">
        <f t="array" ref="AO20">IF($AM20=0,0,INDEX($U$72:$U$83,2*$AM20))</f>
        <v>1</v>
      </c>
      <c r="AP20" cm="1">
        <f t="array" ref="AP20">IF($AM20=0,0,INDEX($AY$72:$AY$83,2*$AM20-1))</f>
        <v>1</v>
      </c>
      <c r="AQ20" cm="1">
        <f t="array" ref="AQ20">IF($AM20=0,0,INDEX($AY$72:$AY$83,2*$AM20))</f>
        <v>3</v>
      </c>
    </row>
    <row r="21" spans="2:43">
      <c r="B21" s="168" t="str">
        <f>IF('2026-07_결과정리'!B11="","",'2026-07_결과정리'!B11)</f>
        <v/>
      </c>
      <c r="C21" s="172" t="str">
        <f>IF('2026-07_결과정리'!C11="","",'2026-07_결과정리'!C11)</f>
        <v>CS 02-01</v>
      </c>
      <c r="D21" s="154" t="str">
        <f>IF('2026-07_결과정리'!D11="","",'2026-07_결과정리'!D11)</f>
        <v/>
      </c>
      <c r="E21" s="160">
        <f>IF('2026-07_결과정리'!E11="","",'2026-07_결과정리'!E11)</f>
        <v>239.81177765547599</v>
      </c>
      <c r="F21" s="160">
        <f>IF('2026-07_결과정리'!F11="","",'2026-07_결과정리'!F11)</f>
        <v>240.8574573472757</v>
      </c>
      <c r="G21" s="160">
        <f>IF('2026-07_결과정리'!G11="","",'2026-07_결과정리'!G11)</f>
        <v>239.81177765547599</v>
      </c>
      <c r="H21" s="154" cm="1">
        <f t="array" ref="H21">IF($E21="","",IF($AN21=0,AVERAGE($E21:$G21),(SUM($E21:$G21)-INDEX($E21:$G21,$AN21))/2))</f>
        <v>240.33461750137582</v>
      </c>
      <c r="I21" s="154">
        <f>IF($E21="","",IF($AN21=0,STDEV($E21:$G21),ABS(CHOOSE($AN21,$F21-$G21,$E21-$G21,$E21-$F21))/SQRT(2)))</f>
        <v>0.73940720102063062</v>
      </c>
      <c r="J21" s="155">
        <f>IF($H21="","",$I21/$H21*100)</f>
        <v>0.30765738565165207</v>
      </c>
      <c r="K21" s="154" t="str">
        <f>IF(OR($H21="",$D21=""),"",($H21-$D21)/$D21*100)</f>
        <v/>
      </c>
      <c r="L21" s="180" t="str">
        <f>IF(OR($H21="",$D21=""),"",$H21-$D21)</f>
        <v/>
      </c>
      <c r="M21" s="183" cm="1">
        <f t="array" ref="M21">IF(OR($E21="",$AM21=0),"",(SUM($E21:$G21)-INDEX($E21:$G21,$AP21))/2)</f>
        <v>240.33461750137582</v>
      </c>
      <c r="N21" s="184">
        <f>IF($M21="","",$H21-$M21)</f>
        <v>0</v>
      </c>
      <c r="O21" s="185">
        <f>IF($M21="","",ABS(CHOOSE($AP21,$F21-$G21,$E21-$G21,$E21-$F21))/SQRT(2)/$M21*100)</f>
        <v>0.30765738565165207</v>
      </c>
      <c r="P21" s="186">
        <f>IF($O21="","",ROUND($J21-$O21,3))</f>
        <v>0</v>
      </c>
      <c r="R21" s="168" t="str">
        <f>IF('2026-07_결과정리'!N11="","",'2026-07_결과정리'!N11)</f>
        <v/>
      </c>
      <c r="S21" s="172" t="str">
        <f>IF('2026-07_결과정리'!O11="","",'2026-07_결과정리'!O11)</f>
        <v>CS 02-01</v>
      </c>
      <c r="T21" s="154" t="str">
        <f>IF('2026-07_결과정리'!P11="","",'2026-07_결과정리'!P11)</f>
        <v/>
      </c>
      <c r="U21" s="160">
        <f>IF('2026-07_결과정리'!Q11="","",'2026-07_결과정리'!Q11)</f>
        <v>240.42535675082331</v>
      </c>
      <c r="V21" s="160">
        <f>IF('2026-07_결과정리'!R11="","",'2026-07_결과정리'!R11)</f>
        <v>240.37047200878149</v>
      </c>
      <c r="W21" s="160">
        <f>IF('2026-07_결과정리'!S11="","",'2026-07_결과정리'!S11)</f>
        <v>240.59001097694841</v>
      </c>
      <c r="X21" s="154" cm="1">
        <f t="array" ref="X21">IF($U21="","",IF($AO21=0,AVERAGE($U21:$W21),(SUM($U21:$W21)-INDEX($U21:$W21,$AO21))/2))</f>
        <v>240.50768386388586</v>
      </c>
      <c r="Y21" s="154">
        <f>IF($U21="","",IF($AO21=0,STDEV($U21:$W21),ABS(CHOOSE($AO21,$V21-$W21,$U21-$W21,$U21-$V21))/SQRT(2)))</f>
        <v>0.11642811984407735</v>
      </c>
      <c r="Z21" s="155">
        <f>IF($X21="","",$Y21/$X21*100)</f>
        <v>4.8409313986811864E-2</v>
      </c>
      <c r="AA21" s="154" t="str">
        <f>IF(OR($X21="",$T21=""),"",($X21-$T21)/$T21*100)</f>
        <v/>
      </c>
      <c r="AB21" s="180" t="str">
        <f>IF(OR($X21="",$T21=""),"",$X21-$T21)</f>
        <v/>
      </c>
      <c r="AC21" s="183" cm="1">
        <f t="array" ref="AC21">IF(OR($U21="",$AM21=0),"",(SUM($U21:$W21)-INDEX($U21:$W21,$AQ21))/2)</f>
        <v>240.50768386388586</v>
      </c>
      <c r="AD21" s="184">
        <f>IF($AC21="","",$X21-$AC21)</f>
        <v>0</v>
      </c>
      <c r="AE21" s="185">
        <f>IF($AC21="","",ABS(CHOOSE($AQ21,$V21-$W21,$U21-$W21,$U21-$V21))/SQRT(2)/$AC21*100)</f>
        <v>4.8409313986811864E-2</v>
      </c>
      <c r="AF21" s="186">
        <f>IF($AE21="","",ROUND($Z21-$AE21,3))</f>
        <v>0</v>
      </c>
      <c r="AM21">
        <v>3</v>
      </c>
      <c r="AN21" cm="1">
        <f t="array" ref="AN21">IF($AM21=0,0,INDEX($U$72:$U$83,2*$AM21-1))</f>
        <v>3</v>
      </c>
      <c r="AO21" cm="1">
        <f t="array" ref="AO21">IF($AM21=0,0,INDEX($U$72:$U$83,2*$AM21))</f>
        <v>2</v>
      </c>
      <c r="AP21" cm="1">
        <f t="array" ref="AP21">IF($AM21=0,0,INDEX($AY$72:$AY$83,2*$AM21-1))</f>
        <v>1</v>
      </c>
      <c r="AQ21" cm="1">
        <f t="array" ref="AQ21">IF($AM21=0,0,INDEX($AY$72:$AY$83,2*$AM21))</f>
        <v>2</v>
      </c>
    </row>
    <row r="22" spans="2:43">
      <c r="B22" s="168" t="str">
        <f>IF('2026-07_결과정리'!B12="","",'2026-07_결과정리'!B12)</f>
        <v/>
      </c>
      <c r="C22" s="172" t="str">
        <f>IF('2026-07_결과정리'!C12="","",'2026-07_결과정리'!C12)</f>
        <v>CS 02-02</v>
      </c>
      <c r="D22" s="154" t="str">
        <f>IF('2026-07_결과정리'!D12="","",'2026-07_결과정리'!D12)</f>
        <v/>
      </c>
      <c r="E22" s="160">
        <f>IF('2026-07_결과정리'!E12="","",'2026-07_결과정리'!E12)</f>
        <v>240.3070996147496</v>
      </c>
      <c r="F22" s="160">
        <f>IF('2026-07_결과정리'!F12="","",'2026-07_결과정리'!F12)</f>
        <v>239.70170610897091</v>
      </c>
      <c r="G22" s="160">
        <f>IF('2026-07_결과정리'!G12="","",'2026-07_결과정리'!G12)</f>
        <v>240.52724270776011</v>
      </c>
      <c r="H22" s="154" cm="1">
        <f t="array" ref="H22">IF($E22="","",IF($AN22=0,AVERAGE($E22:$G22),(SUM($E22:$G22)-INDEX($E22:$G22,$AN22))/2))</f>
        <v>240.11447440836548</v>
      </c>
      <c r="I22" s="154">
        <f>IF($E22="","",IF($AN22=0,STDEV($E22:$G22),ABS(CHOOSE($AN22,$F22-$G22,$E22-$G22,$E22-$F22))/SQRT(2)))</f>
        <v>0.58374252712152086</v>
      </c>
      <c r="J22" s="155">
        <f>IF($H22="","",$I22/$H22*100)</f>
        <v>0.24311009511602502</v>
      </c>
      <c r="K22" s="154" t="str">
        <f>IF(OR($H22="",$D22=""),"",($H22-$D22)/$D22*100)</f>
        <v/>
      </c>
      <c r="L22" s="180" t="str">
        <f>IF(OR($H22="",$D22=""),"",$H22-$D22)</f>
        <v/>
      </c>
      <c r="M22" s="183" cm="1">
        <f t="array" ref="M22">IF(OR($E22="",$AM22=0),"",(SUM($E22:$G22)-INDEX($E22:$G22,$AP22))/2)</f>
        <v>240.41717116125483</v>
      </c>
      <c r="N22" s="184">
        <f>IF($M22="","",$H22-$M22)</f>
        <v>-0.3026967528893465</v>
      </c>
      <c r="O22" s="185">
        <f>IF($M22="","",ABS(CHOOSE($AP22,$F22-$G22,$E22-$G22,$E22-$F22))/SQRT(2)/$M22*100)</f>
        <v>6.4747735424730085E-2</v>
      </c>
      <c r="P22" s="186">
        <f>IF($O22="","",ROUND($J22-$O22,3))</f>
        <v>0.17799999999999999</v>
      </c>
      <c r="R22" s="168" t="str">
        <f>IF('2026-07_결과정리'!N12="","",'2026-07_결과정리'!N12)</f>
        <v/>
      </c>
      <c r="S22" s="172" t="str">
        <f>IF('2026-07_결과정리'!O12="","",'2026-07_결과정리'!O12)</f>
        <v>CS 02-02</v>
      </c>
      <c r="T22" s="154" t="str">
        <f>IF('2026-07_결과정리'!P12="","",'2026-07_결과정리'!P12)</f>
        <v/>
      </c>
      <c r="U22" s="160">
        <f>IF('2026-07_결과정리'!Q12="","",'2026-07_결과정리'!Q12)</f>
        <v>241.63282107574091</v>
      </c>
      <c r="V22" s="160">
        <f>IF('2026-07_결과정리'!R12="","",'2026-07_결과정리'!R12)</f>
        <v>241.0839736553238</v>
      </c>
      <c r="W22" s="160">
        <f>IF('2026-07_결과정리'!S12="","",'2026-07_결과정리'!S12)</f>
        <v>242.78540065861691</v>
      </c>
      <c r="X22" s="154" cm="1">
        <f t="array" ref="X22">IF($U22="","",IF($AO22=0,AVERAGE($U22:$W22),(SUM($U22:$W22)-INDEX($U22:$W22,$AO22))/2))</f>
        <v>241.35839736553237</v>
      </c>
      <c r="Y22" s="154">
        <f>IF($U22="","",IF($AO22=0,STDEV($U22:$W22),ABS(CHOOSE($AO22,$V22-$W22,$U22-$W22,$U22-$V22))/SQRT(2)))</f>
        <v>0.38809373281367826</v>
      </c>
      <c r="Z22" s="155">
        <f>IF($X22="","",$Y22/$X22*100)</f>
        <v>0.16079562055838406</v>
      </c>
      <c r="AA22" s="154" t="str">
        <f>IF(OR($X22="",$T22=""),"",($X22-$T22)/$T22*100)</f>
        <v/>
      </c>
      <c r="AB22" s="180" t="str">
        <f>IF(OR($X22="",$T22=""),"",$X22-$T22)</f>
        <v/>
      </c>
      <c r="AC22" s="183" cm="1">
        <f t="array" ref="AC22">IF(OR($U22="",$AM22=0),"",(SUM($U22:$W22)-INDEX($U22:$W22,$AQ22))/2)</f>
        <v>241.35839736553237</v>
      </c>
      <c r="AD22" s="184">
        <f>IF($AC22="","",$X22-$AC22)</f>
        <v>0</v>
      </c>
      <c r="AE22" s="185">
        <f>IF($AC22="","",ABS(CHOOSE($AQ22,$V22-$W22,$U22-$W22,$U22-$V22))/SQRT(2)/$AC22*100)</f>
        <v>0.16079562055838406</v>
      </c>
      <c r="AF22" s="186">
        <f>IF($AE22="","",ROUND($Z22-$AE22,3))</f>
        <v>0</v>
      </c>
      <c r="AM22">
        <v>4</v>
      </c>
      <c r="AN22" cm="1">
        <f t="array" ref="AN22">IF($AM22=0,0,INDEX($U$72:$U$83,2*$AM22-1))</f>
        <v>1</v>
      </c>
      <c r="AO22" cm="1">
        <f t="array" ref="AO22">IF($AM22=0,0,INDEX($U$72:$U$83,2*$AM22))</f>
        <v>3</v>
      </c>
      <c r="AP22" cm="1">
        <f t="array" ref="AP22">IF($AM22=0,0,INDEX($AY$72:$AY$83,2*$AM22-1))</f>
        <v>2</v>
      </c>
      <c r="AQ22" cm="1">
        <f t="array" ref="AQ22">IF($AM22=0,0,INDEX($AY$72:$AY$83,2*$AM22))</f>
        <v>3</v>
      </c>
    </row>
    <row r="23" spans="2:43">
      <c r="B23" s="168" t="str">
        <f>IF('2026-07_결과정리'!B13="","",'2026-07_결과정리'!B13)</f>
        <v/>
      </c>
      <c r="C23" s="172" t="str">
        <f>IF('2026-07_결과정리'!C13="","",'2026-07_결과정리'!C13)</f>
        <v>CS 03-01</v>
      </c>
      <c r="D23" s="154" t="str">
        <f>IF('2026-07_결과정리'!D13="","",'2026-07_결과정리'!D13)</f>
        <v/>
      </c>
      <c r="E23" s="160">
        <f>IF('2026-07_결과정리'!E13="","",'2026-07_결과정리'!E13)</f>
        <v>132.76719867914139</v>
      </c>
      <c r="F23" s="160">
        <f>IF('2026-07_결과정리'!F13="","",'2026-07_결과정리'!F13)</f>
        <v>132.4920198128784</v>
      </c>
      <c r="G23" s="160">
        <f>IF('2026-07_결과정리'!G13="","",'2026-07_결과정리'!G13)</f>
        <v>132.4920198128784</v>
      </c>
      <c r="H23" s="154" cm="1">
        <f t="array" ref="H23">IF($E23="","",IF($AN23=0,AVERAGE($E23:$G23),(SUM($E23:$G23)-INDEX($E23:$G23,$AN23))/2))</f>
        <v>132.62960924600986</v>
      </c>
      <c r="I23" s="154">
        <f>IF($E23="","",IF($AN23=0,STDEV($E23:$G23),ABS(CHOOSE($AN23,$F23-$G23,$E23-$G23,$E23-$F23))/SQRT(2)))</f>
        <v>0.1945808423737867</v>
      </c>
      <c r="J23" s="155">
        <f>IF($H23="","",$I23/$H23*100)</f>
        <v>0.14670995675849857</v>
      </c>
      <c r="K23" s="154" t="str">
        <f>IF(OR($H23="",$D23=""),"",($H23-$D23)/$D23*100)</f>
        <v/>
      </c>
      <c r="L23" s="180" t="str">
        <f>IF(OR($H23="",$D23=""),"",$H23-$D23)</f>
        <v/>
      </c>
      <c r="M23" s="183" cm="1">
        <f t="array" ref="M23">IF(OR($E23="",$AM23=0),"",(SUM($E23:$G23)-INDEX($E23:$G23,$AP23))/2)</f>
        <v>132.62960924600986</v>
      </c>
      <c r="N23" s="184">
        <f>IF($M23="","",$H23-$M23)</f>
        <v>0</v>
      </c>
      <c r="O23" s="185">
        <f>IF($M23="","",ABS(CHOOSE($AP23,$F23-$G23,$E23-$G23,$E23-$F23))/SQRT(2)/$M23*100)</f>
        <v>0.14670995675849857</v>
      </c>
      <c r="P23" s="186">
        <f>IF($O23="","",ROUND($J23-$O23,3))</f>
        <v>0</v>
      </c>
      <c r="R23" s="168" t="str">
        <f>IF('2026-07_결과정리'!N13="","",'2026-07_결과정리'!N13)</f>
        <v/>
      </c>
      <c r="S23" s="172" t="str">
        <f>IF('2026-07_결과정리'!O13="","",'2026-07_결과정리'!O13)</f>
        <v>CS 03-01</v>
      </c>
      <c r="T23" s="154" t="str">
        <f>IF('2026-07_결과정리'!P13="","",'2026-07_결과정리'!P13)</f>
        <v/>
      </c>
      <c r="U23" s="160">
        <f>IF('2026-07_결과정리'!Q13="","",'2026-07_결과정리'!Q13)</f>
        <v>131.14983534577391</v>
      </c>
      <c r="V23" s="160">
        <f>IF('2026-07_결과정리'!R13="","",'2026-07_결과정리'!R13)</f>
        <v>131.2596048298573</v>
      </c>
      <c r="W23" s="160">
        <f>IF('2026-07_결과정리'!S13="","",'2026-07_결과정리'!S13)</f>
        <v>131.69868276619101</v>
      </c>
      <c r="X23" s="154" cm="1">
        <f t="array" ref="X23">IF($U23="","",IF($AO23=0,AVERAGE($U23:$W23),(SUM($U23:$W23)-INDEX($U23:$W23,$AO23))/2))</f>
        <v>131.42425905598247</v>
      </c>
      <c r="Y23" s="154">
        <f>IF($U23="","",IF($AO23=0,STDEV($U23:$W23),ABS(CHOOSE($AO23,$V23-$W23,$U23-$W23,$U23-$V23))/SQRT(2)))</f>
        <v>0.38809373281367826</v>
      </c>
      <c r="Z23" s="155">
        <f>IF($X23="","",$Y23/$X23*100)</f>
        <v>0.2952983989419814</v>
      </c>
      <c r="AA23" s="154" t="str">
        <f>IF(OR($X23="",$T23=""),"",($X23-$T23)/$T23*100)</f>
        <v/>
      </c>
      <c r="AB23" s="180" t="str">
        <f>IF(OR($X23="",$T23=""),"",$X23-$T23)</f>
        <v/>
      </c>
      <c r="AC23" s="183" cm="1">
        <f t="array" ref="AC23">IF(OR($U23="",$AM23=0),"",(SUM($U23:$W23)-INDEX($U23:$W23,$AQ23))/2)</f>
        <v>131.47914379802415</v>
      </c>
      <c r="AD23" s="184">
        <f>IF($AC23="","",$X23-$AC23)</f>
        <v>-5.4884742041679146E-2</v>
      </c>
      <c r="AE23" s="185">
        <f>IF($AC23="","",ABS(CHOOSE($AQ23,$V23-$W23,$U23-$W23,$U23-$V23))/SQRT(2)/$AC23*100)</f>
        <v>0.23614010350410608</v>
      </c>
      <c r="AF23" s="186">
        <f>IF($AE23="","",ROUND($Z23-$AE23,3))</f>
        <v>5.8999999999999997E-2</v>
      </c>
      <c r="AM23">
        <v>5</v>
      </c>
      <c r="AN23" cm="1">
        <f t="array" ref="AN23">IF($AM23=0,0,INDEX($U$72:$U$83,2*$AM23-1))</f>
        <v>3</v>
      </c>
      <c r="AO23" cm="1">
        <f t="array" ref="AO23">IF($AM23=0,0,INDEX($U$72:$U$83,2*$AM23))</f>
        <v>2</v>
      </c>
      <c r="AP23" cm="1">
        <f t="array" ref="AP23">IF($AM23=0,0,INDEX($AY$72:$AY$83,2*$AM23-1))</f>
        <v>2</v>
      </c>
      <c r="AQ23" cm="1">
        <f t="array" ref="AQ23">IF($AM23=0,0,INDEX($AY$72:$AY$83,2*$AM23))</f>
        <v>1</v>
      </c>
    </row>
    <row r="24" spans="2:43">
      <c r="B24" s="168" t="str">
        <f>IF('2026-07_결과정리'!B14="","",'2026-07_결과정리'!B14)</f>
        <v/>
      </c>
      <c r="C24" s="172" t="str">
        <f>IF('2026-07_결과정리'!C14="","",'2026-07_결과정리'!C14)</f>
        <v>CS 03-02</v>
      </c>
      <c r="D24" s="154" t="str">
        <f>IF('2026-07_결과정리'!D14="","",'2026-07_결과정리'!D14)</f>
        <v/>
      </c>
      <c r="E24" s="160">
        <f>IF('2026-07_결과정리'!E14="","",'2026-07_결과정리'!E14)</f>
        <v>131.83159053384699</v>
      </c>
      <c r="F24" s="160">
        <f>IF('2026-07_결과정리'!F14="","",'2026-07_결과정리'!F14)</f>
        <v>132.32691249312049</v>
      </c>
      <c r="G24" s="160">
        <f>IF('2026-07_결과정리'!G14="","",'2026-07_결과정리'!G14)</f>
        <v>132.43698403962571</v>
      </c>
      <c r="H24" s="154" cm="1">
        <f t="array" ref="H24">IF($E24="","",IF($AN24=0,AVERAGE($E24:$G24),(SUM($E24:$G24)-INDEX($E24:$G24,$AN24))/2))</f>
        <v>132.07925151348374</v>
      </c>
      <c r="I24" s="154">
        <f>IF($E24="","",IF($AN24=0,STDEV($E24:$G24),ABS(CHOOSE($AN24,$F24-$G24,$E24-$G24,$E24-$F24))/SQRT(2)))</f>
        <v>0.35024551627289646</v>
      </c>
      <c r="J24" s="155">
        <f>IF($H24="","",$I24/$H24*100)</f>
        <v>0.26517830186003177</v>
      </c>
      <c r="K24" s="154" t="str">
        <f>IF(OR($H24="",$D24=""),"",($H24-$D24)/$D24*100)</f>
        <v/>
      </c>
      <c r="L24" s="180" t="str">
        <f>IF(OR($H24="",$D24=""),"",$H24-$D24)</f>
        <v/>
      </c>
      <c r="M24" s="183" cm="1">
        <f t="array" ref="M24">IF(OR($E24="",$AM24=0),"",(SUM($E24:$G24)-INDEX($E24:$G24,$AP24))/2)</f>
        <v>132.13428728673637</v>
      </c>
      <c r="N24" s="184">
        <f>IF($M24="","",$H24-$M24)</f>
        <v>-5.5035773252626541E-2</v>
      </c>
      <c r="O24" s="185">
        <f>IF($M24="","",ABS(CHOOSE($AP24,$F24-$G24,$E24-$G24,$E24-$F24))/SQRT(2)/$M24*100)</f>
        <v>0.32397181837707739</v>
      </c>
      <c r="P24" s="186">
        <f>IF($O24="","",ROUND($J24-$O24,3))</f>
        <v>-5.8999999999999997E-2</v>
      </c>
      <c r="R24" s="168" t="str">
        <f>IF('2026-07_결과정리'!N14="","",'2026-07_결과정리'!N14)</f>
        <v/>
      </c>
      <c r="S24" s="172" t="str">
        <f>IF('2026-07_결과정리'!O14="","",'2026-07_결과정리'!O14)</f>
        <v>CS 03-02</v>
      </c>
      <c r="T24" s="154" t="str">
        <f>IF('2026-07_결과정리'!P14="","",'2026-07_결과정리'!P14)</f>
        <v/>
      </c>
      <c r="U24" s="160">
        <f>IF('2026-07_결과정리'!Q14="","",'2026-07_결과정리'!Q14)</f>
        <v>132.30241492864991</v>
      </c>
      <c r="V24" s="160">
        <f>IF('2026-07_결과정리'!R14="","",'2026-07_결과정리'!R14)</f>
        <v>132.19264544456641</v>
      </c>
      <c r="W24" s="160">
        <f>IF('2026-07_결과정리'!S14="","",'2026-07_결과정리'!S14)</f>
        <v>132.74149286498351</v>
      </c>
      <c r="X24" s="154" cm="1">
        <f t="array" ref="X24">IF($U24="","",IF($AO24=0,AVERAGE($U24:$W24),(SUM($U24:$W24)-INDEX($U24:$W24,$AO24))/2))</f>
        <v>132.46706915477498</v>
      </c>
      <c r="Y24" s="154">
        <f>IF($U24="","",IF($AO24=0,STDEV($U24:$W24),ABS(CHOOSE($AO24,$V24-$W24,$U24-$W24,$U24-$V24))/SQRT(2)))</f>
        <v>0.38809373281367826</v>
      </c>
      <c r="Z24" s="155">
        <f>IF($X24="","",$Y24/$X24*100)</f>
        <v>0.29297374456154701</v>
      </c>
      <c r="AA24" s="154" t="str">
        <f>IF(OR($X24="",$T24=""),"",($X24-$T24)/$T24*100)</f>
        <v/>
      </c>
      <c r="AB24" s="180" t="str">
        <f>IF(OR($X24="",$T24=""),"",$X24-$T24)</f>
        <v/>
      </c>
      <c r="AC24" s="183" cm="1">
        <f t="array" ref="AC24">IF(OR($U24="",$AM24=0),"",(SUM($U24:$W24)-INDEX($U24:$W24,$AQ24))/2)</f>
        <v>132.24753018660817</v>
      </c>
      <c r="AD24" s="184">
        <f>IF($AC24="","",$X24-$AC24)</f>
        <v>0.21953896816680185</v>
      </c>
      <c r="AE24" s="185">
        <f>IF($AC24="","",ABS(CHOOSE($AQ24,$V24-$W24,$U24-$W24,$U24-$V24))/SQRT(2)/$AC24*100)</f>
        <v>5.8692019770250389E-2</v>
      </c>
      <c r="AF24" s="186">
        <f>IF($AE24="","",ROUND($Z24-$AE24,3))</f>
        <v>0.23400000000000001</v>
      </c>
      <c r="AM24">
        <v>6</v>
      </c>
      <c r="AN24" cm="1">
        <f t="array" ref="AN24">IF($AM24=0,0,INDEX($U$72:$U$83,2*$AM24-1))</f>
        <v>3</v>
      </c>
      <c r="AO24" cm="1">
        <f t="array" ref="AO24">IF($AM24=0,0,INDEX($U$72:$U$83,2*$AM24))</f>
        <v>1</v>
      </c>
      <c r="AP24" cm="1">
        <f t="array" ref="AP24">IF($AM24=0,0,INDEX($AY$72:$AY$83,2*$AM24-1))</f>
        <v>2</v>
      </c>
      <c r="AQ24" cm="1">
        <f t="array" ref="AQ24">IF($AM24=0,0,INDEX($AY$72:$AY$83,2*$AM24))</f>
        <v>3</v>
      </c>
    </row>
    <row r="25" spans="2:43">
      <c r="B25" s="169" t="str">
        <f>IF('2026-07_결과정리'!B15="","",'2026-07_결과정리'!B15)</f>
        <v>HDL Control x1.09</v>
      </c>
      <c r="C25" s="173" t="str">
        <f>IF('2026-07_결과정리'!C15="","",'2026-07_결과정리'!C15)</f>
        <v>CFS 21-01</v>
      </c>
      <c r="D25" s="154">
        <f>IF('2026-07_결과정리'!D15="","",'2026-07_결과정리'!D15)</f>
        <v>49.006709047562687</v>
      </c>
      <c r="E25" s="160">
        <f>IF('2026-07_결과정리'!E15="","",'2026-07_결과정리'!E15)</f>
        <v>48.493902036323611</v>
      </c>
      <c r="F25" s="160">
        <f>IF('2026-07_결과정리'!F15="","",'2026-07_결과정리'!F15)</f>
        <v>48.733858007705017</v>
      </c>
      <c r="G25" s="160">
        <f>IF('2026-07_결과정리'!G15="","",'2026-07_결과정리'!G15)</f>
        <v>48.553891029168973</v>
      </c>
      <c r="H25" s="154" cm="1">
        <f t="array" ref="H25">IF($E25="","",IF($AN25=0,AVERAGE($E25:$G25),(SUM($E25:$G25)-INDEX($E25:$G25,$AN25))/2))</f>
        <v>48.593883691065862</v>
      </c>
      <c r="I25" s="154">
        <f>IF($E25="","",IF($AN25=0,STDEV($E25:$G25),ABS(CHOOSE($AN25,$F25-$G25,$E25-$G25,$E25-$F25))/SQRT(2)))</f>
        <v>0.12487704674838344</v>
      </c>
      <c r="J25" s="155">
        <f>IF($H25="","",$I25/$H25*100)</f>
        <v>0.25698099691369691</v>
      </c>
      <c r="K25" s="154">
        <f>IF(OR($H25="",$D25=""),"",($H25-$D25)/$D25*100)</f>
        <v>-0.84238538869476753</v>
      </c>
      <c r="L25" s="180">
        <f>IF(OR($H25="",$D25=""),"",$H25-$D25)</f>
        <v>-0.41282535649682472</v>
      </c>
      <c r="M25" s="183" t="str" cm="1">
        <f t="array" ref="M25">IF(OR($E25="",$AM25=0),"",(SUM($E25:$G25)-INDEX($E25:$G25,$AP25))/2)</f>
        <v/>
      </c>
      <c r="N25" s="184" t="str">
        <f>IF($M25="","",$H25-$M25)</f>
        <v/>
      </c>
      <c r="O25" s="185" t="str">
        <f>IF($M25="","",ABS(CHOOSE($AP25,$F25-$G25,$E25-$G25,$E25-$F25))/SQRT(2)/$M25*100)</f>
        <v/>
      </c>
      <c r="P25" s="186" t="str">
        <f>IF($O25="","",ROUND($J25-$O25,3))</f>
        <v/>
      </c>
      <c r="R25" s="169" t="str">
        <f>IF('2026-07_결과정리'!N15="","",'2026-07_결과정리'!N15)</f>
        <v>HDL Control x1.09</v>
      </c>
      <c r="S25" s="173" t="str">
        <f>IF('2026-07_결과정리'!O15="","",'2026-07_결과정리'!O15)</f>
        <v>CFS 21-01</v>
      </c>
      <c r="T25" s="154">
        <f>IF('2026-07_결과정리'!P15="","",'2026-07_결과정리'!P15)</f>
        <v>49.006709047562687</v>
      </c>
      <c r="U25" s="160">
        <f>IF('2026-07_결과정리'!Q15="","",'2026-07_결과정리'!Q15)</f>
        <v>49.627305159165751</v>
      </c>
      <c r="V25" s="160">
        <f>IF('2026-07_결과정리'!R15="","",'2026-07_결과정리'!R15)</f>
        <v>49.208534577387489</v>
      </c>
      <c r="W25" s="160">
        <f>IF('2026-07_결과정리'!S15="","",'2026-07_결과정리'!S15)</f>
        <v>49.567480790340298</v>
      </c>
      <c r="X25" s="154" cm="1">
        <f t="array" ref="X25">IF($U25="","",IF($AO25=0,AVERAGE($U25:$W25),(SUM($U25:$W25)-INDEX($U25:$W25,$AO25))/2))</f>
        <v>49.467773508964513</v>
      </c>
      <c r="Y25" s="154">
        <f>IF($U25="","",IF($AO25=0,STDEV($U25:$W25),ABS(CHOOSE($AO25,$V25-$W25,$U25-$W25,$U25-$V25))/SQRT(2)))</f>
        <v>0.22649140493678432</v>
      </c>
      <c r="Z25" s="155">
        <f>IF($X25="","",$Y25/$X25*100)</f>
        <v>0.45785647679441183</v>
      </c>
      <c r="AA25" s="154">
        <f>IF(OR($X25="",$T25=""),"",($X25-$T25)/$T25*100)</f>
        <v>0.94081906408844296</v>
      </c>
      <c r="AB25" s="180">
        <f>IF(OR($X25="",$T25=""),"",$X25-$T25)</f>
        <v>0.46106446140182555</v>
      </c>
      <c r="AC25" s="183" t="str" cm="1">
        <f t="array" ref="AC25">IF(OR($U25="",$AM25=0),"",(SUM($U25:$W25)-INDEX($U25:$W25,$AQ25))/2)</f>
        <v/>
      </c>
      <c r="AD25" s="184" t="str">
        <f>IF($AC25="","",$X25-$AC25)</f>
        <v/>
      </c>
      <c r="AE25" s="185" t="str">
        <f>IF($AC25="","",ABS(CHOOSE($AQ25,$V25-$W25,$U25-$W25,$U25-$V25))/SQRT(2)/$AC25*100)</f>
        <v/>
      </c>
      <c r="AF25" s="186" t="str">
        <f>IF($AE25="","",ROUND($Z25-$AE25,3))</f>
        <v/>
      </c>
      <c r="AM25">
        <v>0</v>
      </c>
      <c r="AN25" cm="1">
        <f t="array" ref="AN25">IF($AM25=0,0,INDEX($U$72:$U$83,2*$AM25-1))</f>
        <v>0</v>
      </c>
      <c r="AO25" cm="1">
        <f t="array" ref="AO25">IF($AM25=0,0,INDEX($U$72:$U$83,2*$AM25))</f>
        <v>0</v>
      </c>
      <c r="AP25" cm="1">
        <f t="array" ref="AP25">IF($AM25=0,0,INDEX($AY$72:$AY$83,2*$AM25-1))</f>
        <v>0</v>
      </c>
      <c r="AQ25" cm="1">
        <f t="array" ref="AQ25">IF($AM25=0,0,INDEX($AY$72:$AY$83,2*$AM25))</f>
        <v>0</v>
      </c>
    </row>
    <row r="26" spans="2:43">
      <c r="B26" s="169" t="str">
        <f>IF('2026-07_결과정리'!B16="","",'2026-07_결과정리'!B16)</f>
        <v/>
      </c>
      <c r="C26" s="173" t="str">
        <f>IF('2026-07_결과정리'!C16="","",'2026-07_결과정리'!C16)</f>
        <v>Q2</v>
      </c>
      <c r="D26" s="154">
        <f>IF('2026-07_결과정리'!D16="","",'2026-07_결과정리'!D16)</f>
        <v>58.3</v>
      </c>
      <c r="E26" s="160">
        <f>IF('2026-07_결과정리'!E16="","",'2026-07_결과정리'!E16)</f>
        <v>57.912173913043482</v>
      </c>
      <c r="F26" s="160">
        <f>IF('2026-07_결과정리'!F16="","",'2026-07_결과정리'!F16)</f>
        <v>57.55223995597138</v>
      </c>
      <c r="G26" s="160">
        <f>IF('2026-07_결과정리'!G16="","",'2026-07_결과정리'!G16)</f>
        <v>58.032151898734178</v>
      </c>
      <c r="H26" s="154" cm="1">
        <f t="array" ref="H26">IF($E26="","",IF($AN26=0,AVERAGE($E26:$G26),(SUM($E26:$G26)-INDEX($E26:$G26,$AN26))/2))</f>
        <v>57.832188589249682</v>
      </c>
      <c r="I26" s="154">
        <f>IF($E26="","",IF($AN26=0,STDEV($E26:$G26),ABS(CHOOSE($AN26,$F26-$G26,$E26-$G26,$E26-$F26))/SQRT(2)))</f>
        <v>0.24975409349676345</v>
      </c>
      <c r="J26" s="155">
        <f>IF($H26="","",$I26/$H26*100)</f>
        <v>0.43186000666623531</v>
      </c>
      <c r="K26" s="154">
        <f>IF(OR($H26="",$D26=""),"",($H26-$D26)/$D26*100)</f>
        <v>-0.8024209446832159</v>
      </c>
      <c r="L26" s="180">
        <f>IF(OR($H26="",$D26=""),"",$H26-$D26)</f>
        <v>-0.46781141075031485</v>
      </c>
      <c r="M26" s="183" t="str" cm="1">
        <f t="array" ref="M26">IF(OR($E26="",$AM26=0),"",(SUM($E26:$G26)-INDEX($E26:$G26,$AP26))/2)</f>
        <v/>
      </c>
      <c r="N26" s="184" t="str">
        <f>IF($M26="","",$H26-$M26)</f>
        <v/>
      </c>
      <c r="O26" s="185" t="str">
        <f>IF($M26="","",ABS(CHOOSE($AP26,$F26-$G26,$E26-$G26,$E26-$F26))/SQRT(2)/$M26*100)</f>
        <v/>
      </c>
      <c r="P26" s="186" t="str">
        <f>IF($O26="","",ROUND($J26-$O26,3))</f>
        <v/>
      </c>
      <c r="R26" s="169" t="str">
        <f>IF('2026-07_결과정리'!N16="","",'2026-07_결과정리'!N16)</f>
        <v/>
      </c>
      <c r="S26" s="173" t="str">
        <f>IF('2026-07_결과정리'!O16="","",'2026-07_결과정리'!O16)</f>
        <v/>
      </c>
      <c r="T26" s="154" t="str">
        <f>IF('2026-07_결과정리'!P16="","",'2026-07_결과정리'!P16)</f>
        <v/>
      </c>
      <c r="U26" s="160" t="str">
        <f>IF('2026-07_결과정리'!Q16="","",'2026-07_결과정리'!Q16)</f>
        <v/>
      </c>
      <c r="V26" s="160" t="str">
        <f>IF('2026-07_결과정리'!R16="","",'2026-07_결과정리'!R16)</f>
        <v/>
      </c>
      <c r="W26" s="160" t="str">
        <f>IF('2026-07_결과정리'!S16="","",'2026-07_결과정리'!S16)</f>
        <v/>
      </c>
      <c r="X26" s="154" t="str" cm="1">
        <f t="array" ref="X26">IF($U26="","",IF($AO26=0,AVERAGE($U26:$W26),(SUM($U26:$W26)-INDEX($U26:$W26,$AO26))/2))</f>
        <v/>
      </c>
      <c r="Y26" s="154" t="str">
        <f>IF($U26="","",IF($AO26=0,STDEV($U26:$W26),ABS(CHOOSE($AO26,$V26-$W26,$U26-$W26,$U26-$V26))/SQRT(2)))</f>
        <v/>
      </c>
      <c r="Z26" s="155" t="str">
        <f>IF($X26="","",$Y26/$X26*100)</f>
        <v/>
      </c>
      <c r="AA26" s="154" t="str">
        <f>IF(OR($X26="",$T26=""),"",($X26-$T26)/$T26*100)</f>
        <v/>
      </c>
      <c r="AB26" s="180" t="str">
        <f>IF(OR($X26="",$T26=""),"",$X26-$T26)</f>
        <v/>
      </c>
      <c r="AC26" s="183" t="str" cm="1">
        <f t="array" ref="AC26">IF(OR($U26="",$AM26=0),"",(SUM($U26:$W26)-INDEX($U26:$W26,$AQ26))/2)</f>
        <v/>
      </c>
      <c r="AD26" s="184" t="str">
        <f>IF($AC26="","",$X26-$AC26)</f>
        <v/>
      </c>
      <c r="AE26" s="185" t="str">
        <f>IF($AC26="","",ABS(CHOOSE($AQ26,$V26-$W26,$U26-$W26,$U26-$V26))/SQRT(2)/$AC26*100)</f>
        <v/>
      </c>
      <c r="AF26" s="186" t="str">
        <f>IF($AE26="","",ROUND($Z26-$AE26,3))</f>
        <v/>
      </c>
      <c r="AM26">
        <v>0</v>
      </c>
      <c r="AN26" cm="1">
        <f t="array" ref="AN26">IF($AM26=0,0,INDEX($U$72:$U$83,2*$AM26-1))</f>
        <v>0</v>
      </c>
      <c r="AO26" cm="1">
        <f t="array" ref="AO26">IF($AM26=0,0,INDEX($U$72:$U$83,2*$AM26))</f>
        <v>0</v>
      </c>
      <c r="AP26" cm="1">
        <f t="array" ref="AP26">IF($AM26=0,0,INDEX($AY$72:$AY$83,2*$AM26-1))</f>
        <v>0</v>
      </c>
      <c r="AQ26" cm="1">
        <f t="array" ref="AQ26">IF($AM26=0,0,INDEX($AY$72:$AY$83,2*$AM26))</f>
        <v>0</v>
      </c>
    </row>
    <row r="27" spans="2:43">
      <c r="B27" s="169" t="str">
        <f>IF('2026-07_결과정리'!B17="","",'2026-07_결과정리'!B17)</f>
        <v>HDL Sample
x1.09</v>
      </c>
      <c r="C27" s="173" t="str">
        <f>IF('2026-07_결과정리'!C17="","",'2026-07_결과정리'!C17)</f>
        <v>CS 01-01</v>
      </c>
      <c r="D27" s="154" t="str">
        <f>IF('2026-07_결과정리'!D17="","",'2026-07_결과정리'!D17)</f>
        <v/>
      </c>
      <c r="E27" s="160">
        <f>IF('2026-07_결과정리'!E17="","",'2026-07_결과정리'!E17)</f>
        <v>46.094342322509632</v>
      </c>
      <c r="F27" s="160">
        <f>IF('2026-07_결과정리'!F17="","",'2026-07_결과정리'!F17)</f>
        <v>46.214320308200328</v>
      </c>
      <c r="G27" s="160">
        <f>IF('2026-07_결과정리'!G17="","",'2026-07_결과정리'!G17)</f>
        <v>46.334298293891031</v>
      </c>
      <c r="H27" s="154" cm="1">
        <f t="array" ref="H27">IF($E27="","",IF($AN27=0,AVERAGE($E27:$G27),(SUM($E27:$G27)-INDEX($E27:$G27,$AN27))/2))</f>
        <v>46.274309301045683</v>
      </c>
      <c r="I27" s="154">
        <f>IF($E27="","",IF($AN27=0,STDEV($E27:$G27),ABS(CHOOSE($AN27,$F27-$G27,$E27-$G27,$E27-$F27))/SQRT(2)))</f>
        <v>8.4837247274998542E-2</v>
      </c>
      <c r="J27" s="155">
        <f>IF($H27="","",$I27/$H27*100)</f>
        <v>0.18333552365541506</v>
      </c>
      <c r="K27" s="154" t="str">
        <f>IF(OR($H27="",$D27=""),"",($H27-$D27)/$D27*100)</f>
        <v/>
      </c>
      <c r="L27" s="180" t="str">
        <f>IF(OR($H27="",$D27=""),"",$H27-$D27)</f>
        <v/>
      </c>
      <c r="M27" s="183" cm="1">
        <f t="array" ref="M27">IF(OR($E27="",$AM27=0),"",(SUM($E27:$G27)-INDEX($E27:$G27,$AP27))/2)</f>
        <v>46.15433131535498</v>
      </c>
      <c r="N27" s="184">
        <f>IF($M27="","",$H27-$M27)</f>
        <v>0.11997798569070284</v>
      </c>
      <c r="O27" s="185">
        <f>IF($M27="","",ABS(CHOOSE($AP27,$F27-$G27,$E27-$G27,$E27-$F27))/SQRT(2)/$M27*100)</f>
        <v>0.1838121035604067</v>
      </c>
      <c r="P27" s="186">
        <f>IF($O27="","",ROUND($J27-$O27,3))</f>
        <v>0</v>
      </c>
      <c r="R27" s="169" t="str">
        <f>IF('2026-07_결과정리'!N17="","",'2026-07_결과정리'!N17)</f>
        <v>HDL Sample
x1.09</v>
      </c>
      <c r="S27" s="173" t="str">
        <f>IF('2026-07_결과정리'!O17="","",'2026-07_결과정리'!O17)</f>
        <v>CS 01-01</v>
      </c>
      <c r="T27" s="154" t="str">
        <f>IF('2026-07_결과정리'!P17="","",'2026-07_결과정리'!P17)</f>
        <v/>
      </c>
      <c r="U27" s="160">
        <f>IF('2026-07_결과정리'!Q17="","",'2026-07_결과정리'!Q17)</f>
        <v>47.174506037321628</v>
      </c>
      <c r="V27" s="160">
        <f>IF('2026-07_결과정리'!R17="","",'2026-07_결과정리'!R17)</f>
        <v>46.097667398463237</v>
      </c>
      <c r="W27" s="160">
        <f>IF('2026-07_결과정리'!S17="","",'2026-07_결과정리'!S17)</f>
        <v>46.935208562019767</v>
      </c>
      <c r="X27" s="154" cm="1">
        <f t="array" ref="X27">IF($U27="","",IF($AO27=0,AVERAGE($U27:$W27),(SUM($U27:$W27)-INDEX($U27:$W27,$AO27))/2))</f>
        <v>47.054857299670701</v>
      </c>
      <c r="Y27" s="154">
        <f>IF($U27="","",IF($AO27=0,STDEV($U27:$W27),ABS(CHOOSE($AO27,$V27-$W27,$U27-$W27,$U27-$V27))/SQRT(2)))</f>
        <v>0.169208867506766</v>
      </c>
      <c r="Z27" s="155">
        <f>IF($X27="","",$Y27/$X27*100)</f>
        <v>0.35959915132491571</v>
      </c>
      <c r="AA27" s="154" t="str">
        <f>IF(OR($X27="",$T27=""),"",($X27-$T27)/$T27*100)</f>
        <v/>
      </c>
      <c r="AB27" s="180" t="str">
        <f>IF(OR($X27="",$T27=""),"",$X27-$T27)</f>
        <v/>
      </c>
      <c r="AC27" s="183" cm="1">
        <f t="array" ref="AC27">IF(OR($U27="",$AM27=0),"",(SUM($U27:$W27)-INDEX($U27:$W27,$AQ27))/2)</f>
        <v>47.054857299670701</v>
      </c>
      <c r="AD27" s="184">
        <f>IF($AC27="","",$X27-$AC27)</f>
        <v>0</v>
      </c>
      <c r="AE27" s="185">
        <f>IF($AC27="","",ABS(CHOOSE($AQ27,$V27-$W27,$U27-$W27,$U27-$V27))/SQRT(2)/$AC27*100)</f>
        <v>0.35959915132491571</v>
      </c>
      <c r="AF27" s="186">
        <f>IF($AE27="","",ROUND($Z27-$AE27,3))</f>
        <v>0</v>
      </c>
      <c r="AM27">
        <v>1</v>
      </c>
      <c r="AN27" cm="1">
        <f t="array" ref="AN27">IF($AM27=0,0,INDEX($U$72:$U$83,2*$AM27-1))</f>
        <v>1</v>
      </c>
      <c r="AO27" cm="1">
        <f t="array" ref="AO27">IF($AM27=0,0,INDEX($U$72:$U$83,2*$AM27))</f>
        <v>2</v>
      </c>
      <c r="AP27" cm="1">
        <f t="array" ref="AP27">IF($AM27=0,0,INDEX($AY$72:$AY$83,2*$AM27-1))</f>
        <v>3</v>
      </c>
      <c r="AQ27" cm="1">
        <f t="array" ref="AQ27">IF($AM27=0,0,INDEX($AY$72:$AY$83,2*$AM27))</f>
        <v>2</v>
      </c>
    </row>
    <row r="28" spans="2:43">
      <c r="B28" s="169" t="str">
        <f>IF('2026-07_결과정리'!B18="","",'2026-07_결과정리'!B18)</f>
        <v/>
      </c>
      <c r="C28" s="173" t="str">
        <f>IF('2026-07_결과정리'!C18="","",'2026-07_결과정리'!C18)</f>
        <v>CS 01-02</v>
      </c>
      <c r="D28" s="154" t="str">
        <f>IF('2026-07_결과정리'!D18="","",'2026-07_결과정리'!D18)</f>
        <v/>
      </c>
      <c r="E28" s="160">
        <f>IF('2026-07_결과정리'!E18="","",'2026-07_결과정리'!E18)</f>
        <v>45.614430379746842</v>
      </c>
      <c r="F28" s="160">
        <f>IF('2026-07_결과정리'!F18="","",'2026-07_결과정리'!F18)</f>
        <v>45.854386351128227</v>
      </c>
      <c r="G28" s="160">
        <f>IF('2026-07_결과정리'!G18="","",'2026-07_결과정리'!G18)</f>
        <v>45.914375343973582</v>
      </c>
      <c r="H28" s="154" cm="1">
        <f t="array" ref="H28">IF($E28="","",IF($AN28=0,AVERAGE($E28:$G28),(SUM($E28:$G28)-INDEX($E28:$G28,$AN28))/2))</f>
        <v>45.884380847550901</v>
      </c>
      <c r="I28" s="154">
        <f>IF($E28="","",IF($AN28=0,STDEV($E28:$G28),ABS(CHOOSE($AN28,$F28-$G28,$E28-$G28,$E28-$F28))/SQRT(2)))</f>
        <v>4.2418623637501783E-2</v>
      </c>
      <c r="J28" s="155">
        <f>IF($H28="","",$I28/$H28*100)</f>
        <v>9.2446760431258809E-2</v>
      </c>
      <c r="K28" s="154" t="str">
        <f>IF(OR($H28="",$D28=""),"",($H28-$D28)/$D28*100)</f>
        <v/>
      </c>
      <c r="L28" s="180" t="str">
        <f>IF(OR($H28="",$D28=""),"",$H28-$D28)</f>
        <v/>
      </c>
      <c r="M28" s="183" cm="1">
        <f t="array" ref="M28">IF(OR($E28="",$AM28=0),"",(SUM($E28:$G28)-INDEX($E28:$G28,$AP28))/2)</f>
        <v>45.884380847550901</v>
      </c>
      <c r="N28" s="184">
        <f>IF($M28="","",$H28-$M28)</f>
        <v>0</v>
      </c>
      <c r="O28" s="185">
        <f>IF($M28="","",ABS(CHOOSE($AP28,$F28-$G28,$E28-$G28,$E28-$F28))/SQRT(2)/$M28*100)</f>
        <v>9.2446760431258809E-2</v>
      </c>
      <c r="P28" s="186">
        <f>IF($O28="","",ROUND($J28-$O28,3))</f>
        <v>0</v>
      </c>
      <c r="R28" s="169" t="str">
        <f>IF('2026-07_결과정리'!N18="","",'2026-07_결과정리'!N18)</f>
        <v/>
      </c>
      <c r="S28" s="173" t="str">
        <f>IF('2026-07_결과정리'!O18="","",'2026-07_결과정리'!O18)</f>
        <v>CS 01-02</v>
      </c>
      <c r="T28" s="154" t="str">
        <f>IF('2026-07_결과정리'!P18="","",'2026-07_결과정리'!P18)</f>
        <v/>
      </c>
      <c r="U28" s="160">
        <f>IF('2026-07_결과정리'!Q18="","",'2026-07_결과정리'!Q18)</f>
        <v>46.396789242590572</v>
      </c>
      <c r="V28" s="160">
        <f>IF('2026-07_결과정리'!R18="","",'2026-07_결과정리'!R18)</f>
        <v>46.636086717892432</v>
      </c>
      <c r="W28" s="160">
        <f>IF('2026-07_결과정리'!S18="","",'2026-07_결과정리'!S18)</f>
        <v>46.695911086717892</v>
      </c>
      <c r="X28" s="154" cm="1">
        <f t="array" ref="X28">IF($U28="","",IF($AO28=0,AVERAGE($U28:$W28),(SUM($U28:$W28)-INDEX($U28:$W28,$AO28))/2))</f>
        <v>46.665998902305169</v>
      </c>
      <c r="Y28" s="154">
        <f>IF($U28="","",IF($AO28=0,STDEV($U28:$W28),ABS(CHOOSE($AO28,$V28-$W28,$U28-$W28,$U28-$V28))/SQRT(2)))</f>
        <v>4.2302216876687733E-2</v>
      </c>
      <c r="Z28" s="155">
        <f>IF($X28="","",$Y28/$X28*100)</f>
        <v>9.0648904709501724E-2</v>
      </c>
      <c r="AA28" s="154" t="str">
        <f>IF(OR($X28="",$T28=""),"",($X28-$T28)/$T28*100)</f>
        <v/>
      </c>
      <c r="AB28" s="180" t="str">
        <f>IF(OR($X28="",$T28=""),"",$X28-$T28)</f>
        <v/>
      </c>
      <c r="AC28" s="183" cm="1">
        <f t="array" ref="AC28">IF(OR($U28="",$AM28=0),"",(SUM($U28:$W28)-INDEX($U28:$W28,$AQ28))/2)</f>
        <v>46.516437980241506</v>
      </c>
      <c r="AD28" s="184">
        <f>IF($AC28="","",$X28-$AC28)</f>
        <v>0.14956092206366378</v>
      </c>
      <c r="AE28" s="185">
        <f>IF($AC28="","",ABS(CHOOSE($AQ28,$V28-$W28,$U28-$W28,$U28-$V28))/SQRT(2)/$AC28*100)</f>
        <v>0.36376144617659634</v>
      </c>
      <c r="AF28" s="186">
        <f>IF($AE28="","",ROUND($Z28-$AE28,3))</f>
        <v>-0.27300000000000002</v>
      </c>
      <c r="AM28">
        <v>2</v>
      </c>
      <c r="AN28" cm="1">
        <f t="array" ref="AN28">IF($AM28=0,0,INDEX($U$72:$U$83,2*$AM28-1))</f>
        <v>1</v>
      </c>
      <c r="AO28" cm="1">
        <f t="array" ref="AO28">IF($AM28=0,0,INDEX($U$72:$U$83,2*$AM28))</f>
        <v>1</v>
      </c>
      <c r="AP28" cm="1">
        <f t="array" ref="AP28">IF($AM28=0,0,INDEX($AY$72:$AY$83,2*$AM28-1))</f>
        <v>1</v>
      </c>
      <c r="AQ28" cm="1">
        <f t="array" ref="AQ28">IF($AM28=0,0,INDEX($AY$72:$AY$83,2*$AM28))</f>
        <v>3</v>
      </c>
    </row>
    <row r="29" spans="2:43">
      <c r="B29" s="169" t="str">
        <f>IF('2026-07_결과정리'!B19="","",'2026-07_결과정리'!B19)</f>
        <v/>
      </c>
      <c r="C29" s="173" t="str">
        <f>IF('2026-07_결과정리'!C19="","",'2026-07_결과정리'!C19)</f>
        <v>CS 02-01</v>
      </c>
      <c r="D29" s="154" t="str">
        <f>IF('2026-07_결과정리'!D19="","",'2026-07_결과정리'!D19)</f>
        <v/>
      </c>
      <c r="E29" s="160">
        <f>IF('2026-07_결과정리'!E19="","",'2026-07_결과정리'!E19)</f>
        <v>57.07232801320859</v>
      </c>
      <c r="F29" s="160">
        <f>IF('2026-07_결과정리'!F19="","",'2026-07_결과정리'!F19)</f>
        <v>56.652405063291141</v>
      </c>
      <c r="G29" s="160">
        <f>IF('2026-07_결과정리'!G19="","",'2026-07_결과정리'!G19)</f>
        <v>56.292471106219047</v>
      </c>
      <c r="H29" s="154" cm="1">
        <f t="array" ref="H29">IF($E29="","",IF($AN29=0,AVERAGE($E29:$G29),(SUM($E29:$G29)-INDEX($E29:$G29,$AN29))/2))</f>
        <v>56.862366538249873</v>
      </c>
      <c r="I29" s="154">
        <f>IF($E29="","",IF($AN29=0,STDEV($E29:$G29),ABS(CHOOSE($AN29,$F29-$G29,$E29-$G29,$E29-$F29))/SQRT(2)))</f>
        <v>0.29693036546248736</v>
      </c>
      <c r="J29" s="155">
        <f>IF($H29="","",$I29/$H29*100)</f>
        <v>0.52219136054203763</v>
      </c>
      <c r="K29" s="154" t="str">
        <f>IF(OR($H29="",$D29=""),"",($H29-$D29)/$D29*100)</f>
        <v/>
      </c>
      <c r="L29" s="180" t="str">
        <f>IF(OR($H29="",$D29=""),"",$H29-$D29)</f>
        <v/>
      </c>
      <c r="M29" s="183" cm="1">
        <f t="array" ref="M29">IF(OR($E29="",$AM29=0),"",(SUM($E29:$G29)-INDEX($E29:$G29,$AP29))/2)</f>
        <v>56.472438084755098</v>
      </c>
      <c r="N29" s="184">
        <f>IF($M29="","",$H29-$M29)</f>
        <v>0.38992845349477534</v>
      </c>
      <c r="O29" s="185">
        <f>IF($M29="","",ABS(CHOOSE($AP29,$F29-$G29,$E29-$G29,$E29-$F29))/SQRT(2)/$M29*100)</f>
        <v>0.45068311278328133</v>
      </c>
      <c r="P29" s="186">
        <f>IF($O29="","",ROUND($J29-$O29,3))</f>
        <v>7.1999999999999995E-2</v>
      </c>
      <c r="R29" s="169" t="str">
        <f>IF('2026-07_결과정리'!N19="","",'2026-07_결과정리'!N19)</f>
        <v/>
      </c>
      <c r="S29" s="173" t="str">
        <f>IF('2026-07_결과정리'!O19="","",'2026-07_결과정리'!O19)</f>
        <v>CS 02-01</v>
      </c>
      <c r="T29" s="154" t="str">
        <f>IF('2026-07_결과정리'!P19="","",'2026-07_결과정리'!P19)</f>
        <v/>
      </c>
      <c r="U29" s="160">
        <f>IF('2026-07_결과정리'!Q19="","",'2026-07_결과정리'!Q19)</f>
        <v>57.165175631174527</v>
      </c>
      <c r="V29" s="160">
        <f>IF('2026-07_결과정리'!R19="","",'2026-07_결과정리'!R19)</f>
        <v>56.985702524698141</v>
      </c>
      <c r="W29" s="160">
        <f>IF('2026-07_결과정리'!S19="","",'2026-07_결과정리'!S19)</f>
        <v>57.165175631174527</v>
      </c>
      <c r="X29" s="154" cm="1">
        <f t="array" ref="X29">IF($U29="","",IF($AO29=0,AVERAGE($U29:$W29),(SUM($U29:$W29)-INDEX($U29:$W29,$AO29))/2))</f>
        <v>57.165175631174527</v>
      </c>
      <c r="Y29" s="154">
        <f>IF($U29="","",IF($AO29=0,STDEV($U29:$W29),ABS(CHOOSE($AO29,$V29-$W29,$U29-$W29,$U29-$V29))/SQRT(2)))</f>
        <v>0</v>
      </c>
      <c r="Z29" s="155">
        <f>IF($X29="","",$Y29/$X29*100)</f>
        <v>0</v>
      </c>
      <c r="AA29" s="154" t="str">
        <f>IF(OR($X29="",$T29=""),"",($X29-$T29)/$T29*100)</f>
        <v/>
      </c>
      <c r="AB29" s="180" t="str">
        <f>IF(OR($X29="",$T29=""),"",$X29-$T29)</f>
        <v/>
      </c>
      <c r="AC29" s="183" cm="1">
        <f t="array" ref="AC29">IF(OR($U29="",$AM29=0),"",(SUM($U29:$W29)-INDEX($U29:$W29,$AQ29))/2)</f>
        <v>57.165175631174527</v>
      </c>
      <c r="AD29" s="184">
        <f>IF($AC29="","",$X29-$AC29)</f>
        <v>0</v>
      </c>
      <c r="AE29" s="185">
        <f>IF($AC29="","",ABS(CHOOSE($AQ29,$V29-$W29,$U29-$W29,$U29-$V29))/SQRT(2)/$AC29*100)</f>
        <v>0</v>
      </c>
      <c r="AF29" s="186">
        <f>IF($AE29="","",ROUND($Z29-$AE29,3))</f>
        <v>0</v>
      </c>
      <c r="AM29">
        <v>3</v>
      </c>
      <c r="AN29" cm="1">
        <f t="array" ref="AN29">IF($AM29=0,0,INDEX($U$72:$U$83,2*$AM29-1))</f>
        <v>3</v>
      </c>
      <c r="AO29" cm="1">
        <f t="array" ref="AO29">IF($AM29=0,0,INDEX($U$72:$U$83,2*$AM29))</f>
        <v>2</v>
      </c>
      <c r="AP29" cm="1">
        <f t="array" ref="AP29">IF($AM29=0,0,INDEX($AY$72:$AY$83,2*$AM29-1))</f>
        <v>1</v>
      </c>
      <c r="AQ29" cm="1">
        <f t="array" ref="AQ29">IF($AM29=0,0,INDEX($AY$72:$AY$83,2*$AM29))</f>
        <v>2</v>
      </c>
    </row>
    <row r="30" spans="2:43">
      <c r="B30" s="169" t="str">
        <f>IF('2026-07_결과정리'!B20="","",'2026-07_결과정리'!B20)</f>
        <v/>
      </c>
      <c r="C30" s="173" t="str">
        <f>IF('2026-07_결과정리'!C20="","",'2026-07_결과정리'!C20)</f>
        <v>CS 02-02</v>
      </c>
      <c r="D30" s="154" t="str">
        <f>IF('2026-07_결과정리'!D20="","",'2026-07_결과정리'!D20)</f>
        <v/>
      </c>
      <c r="E30" s="160">
        <f>IF('2026-07_결과정리'!E20="","",'2026-07_결과정리'!E20)</f>
        <v>56.532427077600452</v>
      </c>
      <c r="F30" s="160">
        <f>IF('2026-07_결과정리'!F20="","",'2026-07_결과정리'!F20)</f>
        <v>56.892361034672547</v>
      </c>
      <c r="G30" s="160">
        <f>IF('2026-07_결과정리'!G20="","",'2026-07_결과정리'!G20)</f>
        <v>56.532427077600452</v>
      </c>
      <c r="H30" s="154" cm="1">
        <f t="array" ref="H30">IF($E30="","",IF($AN30=0,AVERAGE($E30:$G30),(SUM($E30:$G30)-INDEX($E30:$G30,$AN30))/2))</f>
        <v>56.712394056136503</v>
      </c>
      <c r="I30" s="154">
        <f>IF($E30="","",IF($AN30=0,STDEV($E30:$G30),ABS(CHOOSE($AN30,$F30-$G30,$E30-$G30,$E30-$F30))/SQRT(2)))</f>
        <v>0.25451174182498554</v>
      </c>
      <c r="J30" s="155">
        <f>IF($H30="","",$I30/$H30*100)</f>
        <v>0.44877622618621649</v>
      </c>
      <c r="K30" s="154" t="str">
        <f>IF(OR($H30="",$D30=""),"",($H30-$D30)/$D30*100)</f>
        <v/>
      </c>
      <c r="L30" s="180" t="str">
        <f>IF(OR($H30="",$D30=""),"",$H30-$D30)</f>
        <v/>
      </c>
      <c r="M30" s="183" cm="1">
        <f t="array" ref="M30">IF(OR($E30="",$AM30=0),"",(SUM($E30:$G30)-INDEX($E30:$G30,$AP30))/2)</f>
        <v>56.53242707760046</v>
      </c>
      <c r="N30" s="184">
        <f>IF($M30="","",$H30-$M30)</f>
        <v>0.1799669785360436</v>
      </c>
      <c r="O30" s="185">
        <f>IF($M30="","",ABS(CHOOSE($AP30,$F30-$G30,$E30-$G30,$E30-$F30))/SQRT(2)/$M30*100)</f>
        <v>0</v>
      </c>
      <c r="P30" s="186">
        <f>IF($O30="","",ROUND($J30-$O30,3))</f>
        <v>0.44900000000000001</v>
      </c>
      <c r="R30" s="169" t="str">
        <f>IF('2026-07_결과정리'!N20="","",'2026-07_결과정리'!N20)</f>
        <v/>
      </c>
      <c r="S30" s="173" t="str">
        <f>IF('2026-07_결과정리'!O20="","",'2026-07_결과정리'!O20)</f>
        <v>CS 02-02</v>
      </c>
      <c r="T30" s="154" t="str">
        <f>IF('2026-07_결과정리'!P20="","",'2026-07_결과정리'!P20)</f>
        <v/>
      </c>
      <c r="U30" s="160">
        <f>IF('2026-07_결과정리'!Q20="","",'2026-07_결과정리'!Q20)</f>
        <v>57.284824368825483</v>
      </c>
      <c r="V30" s="160">
        <f>IF('2026-07_결과정리'!R20="","",'2026-07_결과정리'!R20)</f>
        <v>57.64377058177827</v>
      </c>
      <c r="W30" s="160">
        <f>IF('2026-07_결과정리'!S20="","",'2026-07_결과정리'!S20)</f>
        <v>56.985702524698141</v>
      </c>
      <c r="X30" s="154" cm="1">
        <f t="array" ref="X30">IF($U30="","",IF($AO30=0,AVERAGE($U30:$W30),(SUM($U30:$W30)-INDEX($U30:$W30,$AO30))/2))</f>
        <v>57.464297475301883</v>
      </c>
      <c r="Y30" s="154">
        <f>IF($U30="","",IF($AO30=0,STDEV($U30:$W30),ABS(CHOOSE($AO30,$V30-$W30,$U30-$W30,$U30-$V30))/SQRT(2)))</f>
        <v>0.25381330126014651</v>
      </c>
      <c r="Z30" s="155">
        <f>IF($X30="","",$Y30/$X30*100)</f>
        <v>0.4416886874310702</v>
      </c>
      <c r="AA30" s="154" t="str">
        <f>IF(OR($X30="",$T30=""),"",($X30-$T30)/$T30*100)</f>
        <v/>
      </c>
      <c r="AB30" s="180" t="str">
        <f>IF(OR($X30="",$T30=""),"",$X30-$T30)</f>
        <v/>
      </c>
      <c r="AC30" s="183" cm="1">
        <f t="array" ref="AC30">IF(OR($U30="",$AM30=0),"",(SUM($U30:$W30)-INDEX($U30:$W30,$AQ30))/2)</f>
        <v>57.464297475301883</v>
      </c>
      <c r="AD30" s="184">
        <f>IF($AC30="","",$X30-$AC30)</f>
        <v>0</v>
      </c>
      <c r="AE30" s="185">
        <f>IF($AC30="","",ABS(CHOOSE($AQ30,$V30-$W30,$U30-$W30,$U30-$V30))/SQRT(2)/$AC30*100)</f>
        <v>0.4416886874310702</v>
      </c>
      <c r="AF30" s="186">
        <f>IF($AE30="","",ROUND($Z30-$AE30,3))</f>
        <v>0</v>
      </c>
      <c r="AM30">
        <v>4</v>
      </c>
      <c r="AN30" cm="1">
        <f t="array" ref="AN30">IF($AM30=0,0,INDEX($U$72:$U$83,2*$AM30-1))</f>
        <v>1</v>
      </c>
      <c r="AO30" cm="1">
        <f t="array" ref="AO30">IF($AM30=0,0,INDEX($U$72:$U$83,2*$AM30))</f>
        <v>3</v>
      </c>
      <c r="AP30" cm="1">
        <f t="array" ref="AP30">IF($AM30=0,0,INDEX($AY$72:$AY$83,2*$AM30-1))</f>
        <v>2</v>
      </c>
      <c r="AQ30" cm="1">
        <f t="array" ref="AQ30">IF($AM30=0,0,INDEX($AY$72:$AY$83,2*$AM30))</f>
        <v>3</v>
      </c>
    </row>
    <row r="31" spans="2:43">
      <c r="B31" s="169" t="str">
        <f>IF('2026-07_결과정리'!B21="","",'2026-07_결과정리'!B21)</f>
        <v/>
      </c>
      <c r="C31" s="173" t="str">
        <f>IF('2026-07_결과정리'!C21="","",'2026-07_결과정리'!C21)</f>
        <v>CS 03-01</v>
      </c>
      <c r="D31" s="154" t="str">
        <f>IF('2026-07_결과정리'!D21="","",'2026-07_결과정리'!D21)</f>
        <v/>
      </c>
      <c r="E31" s="160">
        <f>IF('2026-07_결과정리'!E21="","",'2026-07_결과정리'!E21)</f>
        <v>52.15323059988993</v>
      </c>
      <c r="F31" s="160">
        <f>IF('2026-07_결과정리'!F21="","",'2026-07_결과정리'!F21)</f>
        <v>52.393186571271329</v>
      </c>
      <c r="G31" s="160">
        <f>IF('2026-07_결과정리'!G21="","",'2026-07_결과정리'!G21)</f>
        <v>52.093241607044583</v>
      </c>
      <c r="H31" s="154" cm="1">
        <f t="array" ref="H31">IF($E31="","",IF($AN31=0,AVERAGE($E31:$G31),(SUM($E31:$G31)-INDEX($E31:$G31,$AN31))/2))</f>
        <v>52.273208585580633</v>
      </c>
      <c r="I31" s="154">
        <f>IF($E31="","",IF($AN31=0,STDEV($E31:$G31),ABS(CHOOSE($AN31,$F31-$G31,$E31-$G31,$E31-$F31))/SQRT(2)))</f>
        <v>0.16967449454999203</v>
      </c>
      <c r="J31" s="155">
        <f>IF($H31="","",$I31/$H31*100)</f>
        <v>0.32459169647526881</v>
      </c>
      <c r="K31" s="154" t="str">
        <f>IF(OR($H31="",$D31=""),"",($H31-$D31)/$D31*100)</f>
        <v/>
      </c>
      <c r="L31" s="180" t="str">
        <f>IF(OR($H31="",$D31=""),"",$H31-$D31)</f>
        <v/>
      </c>
      <c r="M31" s="183" cm="1">
        <f t="array" ref="M31">IF(OR($E31="",$AM31=0),"",(SUM($E31:$G31)-INDEX($E31:$G31,$AP31))/2)</f>
        <v>52.123236103467256</v>
      </c>
      <c r="N31" s="184">
        <f>IF($M31="","",$H31-$M31)</f>
        <v>0.14997248211337677</v>
      </c>
      <c r="O31" s="185">
        <f>IF($M31="","",ABS(CHOOSE($AP31,$F31-$G31,$E31-$G31,$E31-$F31))/SQRT(2)/$M31*100)</f>
        <v>8.1381408386259138E-2</v>
      </c>
      <c r="P31" s="186">
        <f>IF($O31="","",ROUND($J31-$O31,3))</f>
        <v>0.24299999999999999</v>
      </c>
      <c r="R31" s="169" t="str">
        <f>IF('2026-07_결과정리'!N21="","",'2026-07_결과정리'!N21)</f>
        <v/>
      </c>
      <c r="S31" s="173" t="str">
        <f>IF('2026-07_결과정리'!O21="","",'2026-07_결과정리'!O21)</f>
        <v>CS 03-01</v>
      </c>
      <c r="T31" s="154" t="str">
        <f>IF('2026-07_결과정리'!P21="","",'2026-07_결과정리'!P21)</f>
        <v/>
      </c>
      <c r="U31" s="160">
        <f>IF('2026-07_결과정리'!Q21="","",'2026-07_결과정리'!Q21)</f>
        <v>52.917645444566418</v>
      </c>
      <c r="V31" s="160">
        <f>IF('2026-07_결과정리'!R21="","",'2026-07_결과정리'!R21)</f>
        <v>52.498874862788149</v>
      </c>
      <c r="W31" s="160">
        <f>IF('2026-07_결과정리'!S21="","",'2026-07_결과정리'!S21)</f>
        <v>52.498874862788149</v>
      </c>
      <c r="X31" s="154" cm="1">
        <f t="array" ref="X31">IF($U31="","",IF($AO31=0,AVERAGE($U31:$W31),(SUM($U31:$W31)-INDEX($U31:$W31,$AO31))/2))</f>
        <v>52.708260153677287</v>
      </c>
      <c r="Y31" s="154">
        <f>IF($U31="","",IF($AO31=0,STDEV($U31:$W31),ABS(CHOOSE($AO31,$V31-$W31,$U31-$W31,$U31-$V31))/SQRT(2)))</f>
        <v>0.29611551813684933</v>
      </c>
      <c r="Z31" s="155">
        <f>IF($X31="","",$Y31/$X31*100)</f>
        <v>0.56180097251073902</v>
      </c>
      <c r="AA31" s="154" t="str">
        <f>IF(OR($X31="",$T31=""),"",($X31-$T31)/$T31*100)</f>
        <v/>
      </c>
      <c r="AB31" s="180" t="str">
        <f>IF(OR($X31="",$T31=""),"",$X31-$T31)</f>
        <v/>
      </c>
      <c r="AC31" s="183" cm="1">
        <f t="array" ref="AC31">IF(OR($U31="",$AM31=0),"",(SUM($U31:$W31)-INDEX($U31:$W31,$AQ31))/2)</f>
        <v>52.498874862788149</v>
      </c>
      <c r="AD31" s="184">
        <f>IF($AC31="","",$X31-$AC31)</f>
        <v>0.20938529088913782</v>
      </c>
      <c r="AE31" s="185">
        <f>IF($AC31="","",ABS(CHOOSE($AQ31,$V31-$W31,$U31-$W31,$U31-$V31))/SQRT(2)/$AC31*100)</f>
        <v>0</v>
      </c>
      <c r="AF31" s="186">
        <f>IF($AE31="","",ROUND($Z31-$AE31,3))</f>
        <v>0.56200000000000006</v>
      </c>
      <c r="AM31">
        <v>5</v>
      </c>
      <c r="AN31" cm="1">
        <f t="array" ref="AN31">IF($AM31=0,0,INDEX($U$72:$U$83,2*$AM31-1))</f>
        <v>3</v>
      </c>
      <c r="AO31" cm="1">
        <f t="array" ref="AO31">IF($AM31=0,0,INDEX($U$72:$U$83,2*$AM31))</f>
        <v>2</v>
      </c>
      <c r="AP31" cm="1">
        <f t="array" ref="AP31">IF($AM31=0,0,INDEX($AY$72:$AY$83,2*$AM31-1))</f>
        <v>2</v>
      </c>
      <c r="AQ31" cm="1">
        <f t="array" ref="AQ31">IF($AM31=0,0,INDEX($AY$72:$AY$83,2*$AM31))</f>
        <v>1</v>
      </c>
    </row>
    <row r="32" spans="2:43">
      <c r="B32" s="169" t="str">
        <f>IF('2026-07_결과정리'!B22="","",'2026-07_결과정리'!B22)</f>
        <v/>
      </c>
      <c r="C32" s="173" t="str">
        <f>IF('2026-07_결과정리'!C22="","",'2026-07_결과정리'!C22)</f>
        <v>CS 03-02</v>
      </c>
      <c r="D32" s="154" t="str">
        <f>IF('2026-07_결과정리'!D22="","",'2026-07_결과정리'!D22)</f>
        <v/>
      </c>
      <c r="E32" s="160">
        <f>IF('2026-07_결과정리'!E22="","",'2026-07_결과정리'!E22)</f>
        <v>52.63314254265272</v>
      </c>
      <c r="F32" s="160">
        <f>IF('2026-07_결과정리'!F22="","",'2026-07_결과정리'!F22)</f>
        <v>52.993076499724822</v>
      </c>
      <c r="G32" s="160">
        <f>IF('2026-07_결과정리'!G22="","",'2026-07_결과정리'!G22)</f>
        <v>52.573153549807373</v>
      </c>
      <c r="H32" s="154" cm="1">
        <f t="array" ref="H32">IF($E32="","",IF($AN32=0,AVERAGE($E32:$G32),(SUM($E32:$G32)-INDEX($E32:$G32,$AN32))/2))</f>
        <v>52.813109521188771</v>
      </c>
      <c r="I32" s="154">
        <f>IF($E32="","",IF($AN32=0,STDEV($E32:$G32),ABS(CHOOSE($AN32,$F32-$G32,$E32-$G32,$E32-$F32))/SQRT(2)))</f>
        <v>0.25451174182499059</v>
      </c>
      <c r="J32" s="155">
        <f>IF($H32="","",$I32/$H32*100)</f>
        <v>0.48191016232982786</v>
      </c>
      <c r="K32" s="154" t="str">
        <f>IF(OR($H32="",$D32=""),"",($H32-$D32)/$D32*100)</f>
        <v/>
      </c>
      <c r="L32" s="180" t="str">
        <f>IF(OR($H32="",$D32=""),"",$H32-$D32)</f>
        <v/>
      </c>
      <c r="M32" s="183" cm="1">
        <f t="array" ref="M32">IF(OR($E32="",$AM32=0),"",(SUM($E32:$G32)-INDEX($E32:$G32,$AP32))/2)</f>
        <v>52.603148046230046</v>
      </c>
      <c r="N32" s="184">
        <f>IF($M32="","",$H32-$M32)</f>
        <v>0.20996147495872464</v>
      </c>
      <c r="O32" s="185">
        <f>IF($M32="","",ABS(CHOOSE($AP32,$F32-$G32,$E32-$G32,$E32-$F32))/SQRT(2)/$M32*100)</f>
        <v>8.0638945030851256E-2</v>
      </c>
      <c r="P32" s="186">
        <f>IF($O32="","",ROUND($J32-$O32,3))</f>
        <v>0.40100000000000002</v>
      </c>
      <c r="R32" s="169" t="str">
        <f>IF('2026-07_결과정리'!N22="","",'2026-07_결과정리'!N22)</f>
        <v/>
      </c>
      <c r="S32" s="173" t="str">
        <f>IF('2026-07_결과정리'!O22="","",'2026-07_결과정리'!O22)</f>
        <v>CS 03-02</v>
      </c>
      <c r="T32" s="154" t="str">
        <f>IF('2026-07_결과정리'!P22="","",'2026-07_결과정리'!P22)</f>
        <v/>
      </c>
      <c r="U32" s="160">
        <f>IF('2026-07_결과정리'!Q22="","",'2026-07_결과정리'!Q22)</f>
        <v>52.857821075740937</v>
      </c>
      <c r="V32" s="160">
        <f>IF('2026-07_결과정리'!R22="","",'2026-07_결과정리'!R22)</f>
        <v>52.857821075740937</v>
      </c>
      <c r="W32" s="160">
        <f>IF('2026-07_결과정리'!S22="","",'2026-07_결과정리'!S22)</f>
        <v>52.917645444566418</v>
      </c>
      <c r="X32" s="154" cm="1">
        <f t="array" ref="X32">IF($U32="","",IF($AO32=0,AVERAGE($U32:$W32),(SUM($U32:$W32)-INDEX($U32:$W32,$AO32))/2))</f>
        <v>52.887733260153681</v>
      </c>
      <c r="Y32" s="154">
        <f>IF($U32="","",IF($AO32=0,STDEV($U32:$W32),ABS(CHOOSE($AO32,$V32-$W32,$U32-$W32,$U32-$V32))/SQRT(2)))</f>
        <v>4.2302216876702811E-2</v>
      </c>
      <c r="Z32" s="155">
        <f>IF($X32="","",$Y32/$X32*100)</f>
        <v>7.9984930850825225E-2</v>
      </c>
      <c r="AA32" s="154" t="str">
        <f>IF(OR($X32="",$T32=""),"",($X32-$T32)/$T32*100)</f>
        <v/>
      </c>
      <c r="AB32" s="180" t="str">
        <f>IF(OR($X32="",$T32=""),"",$X32-$T32)</f>
        <v/>
      </c>
      <c r="AC32" s="183" cm="1">
        <f t="array" ref="AC32">IF(OR($U32="",$AM32=0),"",(SUM($U32:$W32)-INDEX($U32:$W32,$AQ32))/2)</f>
        <v>52.857821075740937</v>
      </c>
      <c r="AD32" s="184">
        <f>IF($AC32="","",$X32-$AC32)</f>
        <v>2.9912184412744125E-2</v>
      </c>
      <c r="AE32" s="185">
        <f>IF($AC32="","",ABS(CHOOSE($AQ32,$V32-$W32,$U32-$W32,$U32-$V32))/SQRT(2)/$AC32*100)</f>
        <v>0</v>
      </c>
      <c r="AF32" s="186">
        <f>IF($AE32="","",ROUND($Z32-$AE32,3))</f>
        <v>0.08</v>
      </c>
      <c r="AM32">
        <v>6</v>
      </c>
      <c r="AN32" cm="1">
        <f t="array" ref="AN32">IF($AM32=0,0,INDEX($U$72:$U$83,2*$AM32-1))</f>
        <v>3</v>
      </c>
      <c r="AO32" cm="1">
        <f t="array" ref="AO32">IF($AM32=0,0,INDEX($U$72:$U$83,2*$AM32))</f>
        <v>1</v>
      </c>
      <c r="AP32" cm="1">
        <f t="array" ref="AP32">IF($AM32=0,0,INDEX($AY$72:$AY$83,2*$AM32-1))</f>
        <v>2</v>
      </c>
      <c r="AQ32" cm="1">
        <f t="array" ref="AQ32">IF($AM32=0,0,INDEX($AY$72:$AY$83,2*$AM32))</f>
        <v>3</v>
      </c>
    </row>
    <row r="33" spans="2:43">
      <c r="B33" s="170" t="str">
        <f>IF('2026-07_결과정리'!B23="","",'2026-07_결과정리'!B23)</f>
        <v>LDL Control</v>
      </c>
      <c r="C33" s="174" t="str">
        <f>IF('2026-07_결과정리'!C23="","",'2026-07_결과정리'!C23)</f>
        <v>CFS 21-01</v>
      </c>
      <c r="D33" s="154">
        <f>IF('2026-07_결과정리'!D23="","",'2026-07_결과정리'!D23)</f>
        <v>120.5507710981711</v>
      </c>
      <c r="E33" s="160">
        <f>IF('2026-07_결과정리'!E23="","",'2026-07_결과정리'!E23)</f>
        <v>120.2666923500275</v>
      </c>
      <c r="F33" s="160">
        <f>IF('2026-07_결과정리'!F23="","",'2026-07_결과정리'!F23)</f>
        <v>122.2832030820033</v>
      </c>
      <c r="G33" s="160">
        <f>IF('2026-07_결과정리'!G23="","",'2026-07_결과정리'!G23)</f>
        <v>122.13295542102369</v>
      </c>
      <c r="H33" s="154" cm="1">
        <f t="array" ref="H33">IF($E33="","",IF($AN33=0,AVERAGE($E33:$G33),(SUM($E33:$G33)-INDEX($E33:$G33,$AN33))/2))</f>
        <v>121.56095028435148</v>
      </c>
      <c r="I33" s="154">
        <f>IF($E33="","",IF($AN33=0,STDEV($E33:$G33),ABS(CHOOSE($AN33,$F33-$G33,$E33-$G33,$E33-$F33))/SQRT(2)))</f>
        <v>1.1233749553590415</v>
      </c>
      <c r="J33" s="155">
        <f>IF($H33="","",$I33/$H33*100)</f>
        <v>0.92412485484136053</v>
      </c>
      <c r="K33" s="154">
        <f>IF(OR($H33="",$D33=""),"",($H33-$D33)/$D33*100)</f>
        <v>0.83796990842782437</v>
      </c>
      <c r="L33" s="180">
        <f>IF(OR($H33="",$D33=""),"",$H33-$D33)</f>
        <v>1.0101791861803804</v>
      </c>
      <c r="M33" s="183" t="str" cm="1">
        <f t="array" ref="M33">IF(OR($E33="",$AM33=0),"",(SUM($E33:$G33)-INDEX($E33:$G33,$AP33))/2)</f>
        <v/>
      </c>
      <c r="N33" s="184" t="str">
        <f>IF($M33="","",$H33-$M33)</f>
        <v/>
      </c>
      <c r="O33" s="185" t="str">
        <f>IF($M33="","",ABS(CHOOSE($AP33,$F33-$G33,$E33-$G33,$E33-$F33))/SQRT(2)/$M33*100)</f>
        <v/>
      </c>
      <c r="P33" s="186" t="str">
        <f>IF($O33="","",ROUND($J33-$O33,3))</f>
        <v/>
      </c>
      <c r="R33" s="170" t="str">
        <f>IF('2026-07_결과정리'!N23="","",'2026-07_결과정리'!N23)</f>
        <v>LDL Control</v>
      </c>
      <c r="S33" s="174" t="str">
        <f>IF('2026-07_결과정리'!O23="","",'2026-07_결과정리'!O23)</f>
        <v>CFS 21-01</v>
      </c>
      <c r="T33" s="154">
        <f>IF('2026-07_결과정리'!P23="","",'2026-07_결과정리'!P23)</f>
        <v>120.5507710981711</v>
      </c>
      <c r="U33" s="160">
        <f>IF('2026-07_결과정리'!Q23="","",'2026-07_결과정리'!Q23)</f>
        <v>120.49069703622391</v>
      </c>
      <c r="V33" s="160">
        <f>IF('2026-07_결과정리'!R23="","",'2026-07_결과정리'!R23)</f>
        <v>122.7206641053787</v>
      </c>
      <c r="W33" s="160">
        <f>IF('2026-07_결과정리'!S23="","",'2026-07_결과정리'!S23)</f>
        <v>121.2091383095499</v>
      </c>
      <c r="X33" s="154" cm="1">
        <f t="array" ref="X33">IF($U33="","",IF($AO33=0,AVERAGE($U33:$W33),(SUM($U33:$W33)-INDEX($U33:$W33,$AO33))/2))</f>
        <v>121.47349981705084</v>
      </c>
      <c r="Y33" s="154">
        <f>IF($U33="","",IF($AO33=0,STDEV($U33:$W33),ABS(CHOOSE($AO33,$V33-$W33,$U33-$W33,$U33-$V33))/SQRT(2)))</f>
        <v>1.1382458158784654</v>
      </c>
      <c r="Z33" s="155">
        <f>IF($X33="","",$Y33/$X33*100)</f>
        <v>0.93703220668932574</v>
      </c>
      <c r="AA33" s="154">
        <f>IF(OR($X33="",$T33=""),"",($X33-$T33)/$T33*100)</f>
        <v>0.76542747132518174</v>
      </c>
      <c r="AB33" s="180">
        <f>IF(OR($X33="",$T33=""),"",$X33-$T33)</f>
        <v>0.92272871887973906</v>
      </c>
      <c r="AC33" s="183" t="str" cm="1">
        <f t="array" ref="AC33">IF(OR($U33="",$AM33=0),"",(SUM($U33:$W33)-INDEX($U33:$W33,$AQ33))/2)</f>
        <v/>
      </c>
      <c r="AD33" s="184" t="str">
        <f>IF($AC33="","",$X33-$AC33)</f>
        <v/>
      </c>
      <c r="AE33" s="185" t="str">
        <f>IF($AC33="","",ABS(CHOOSE($AQ33,$V33-$W33,$U33-$W33,$U33-$V33))/SQRT(2)/$AC33*100)</f>
        <v/>
      </c>
      <c r="AF33" s="186" t="str">
        <f>IF($AE33="","",ROUND($Z33-$AE33,3))</f>
        <v/>
      </c>
      <c r="AM33">
        <v>0</v>
      </c>
      <c r="AN33" cm="1">
        <f t="array" ref="AN33">IF($AM33=0,0,INDEX($U$72:$U$83,2*$AM33-1))</f>
        <v>0</v>
      </c>
      <c r="AO33" cm="1">
        <f t="array" ref="AO33">IF($AM33=0,0,INDEX($U$72:$U$83,2*$AM33))</f>
        <v>0</v>
      </c>
      <c r="AP33" cm="1">
        <f t="array" ref="AP33">IF($AM33=0,0,INDEX($AY$72:$AY$83,2*$AM33-1))</f>
        <v>0</v>
      </c>
      <c r="AQ33" cm="1">
        <f t="array" ref="AQ33">IF($AM33=0,0,INDEX($AY$72:$AY$83,2*$AM33))</f>
        <v>0</v>
      </c>
    </row>
    <row r="34" spans="2:43">
      <c r="B34" s="170" t="str">
        <f>IF('2026-07_결과정리'!B24="","",'2026-07_결과정리'!B24)</f>
        <v/>
      </c>
      <c r="C34" s="174" t="str">
        <f>IF('2026-07_결과정리'!C24="","",'2026-07_결과정리'!C24)</f>
        <v>Q2</v>
      </c>
      <c r="D34" s="154">
        <f>IF('2026-07_결과정리'!D24="","",'2026-07_결과정리'!D24)</f>
        <v>137.9</v>
      </c>
      <c r="E34" s="160">
        <f>IF('2026-07_결과정리'!E24="","",'2026-07_결과정리'!E24)</f>
        <v>140.8429168959824</v>
      </c>
      <c r="F34" s="160">
        <f>IF('2026-07_결과정리'!F24="","",'2026-07_결과정리'!F24)</f>
        <v>141.20285085305451</v>
      </c>
      <c r="G34" s="160">
        <f>IF('2026-07_결과정리'!G24="","",'2026-07_결과정리'!G24)</f>
        <v>140.5027958172812</v>
      </c>
      <c r="H34" s="154" cm="1">
        <f t="array" ref="H34">IF($E34="","",IF($AN34=0,AVERAGE($E34:$G34),(SUM($E34:$G34)-INDEX($E34:$G34,$AN34))/2))</f>
        <v>140.84952118877271</v>
      </c>
      <c r="I34" s="154">
        <f>IF($E34="","",IF($AN34=0,STDEV($E34:$G34),ABS(CHOOSE($AN34,$F34-$G34,$E34-$G34,$E34-$F34))/SQRT(2)))</f>
        <v>0.35007424325468489</v>
      </c>
      <c r="J34" s="155">
        <f>IF($H34="","",$I34/$H34*100)</f>
        <v>0.24854485858386413</v>
      </c>
      <c r="K34" s="154">
        <f>IF(OR($H34="",$D34=""),"",($H34-$D34)/$D34*100)</f>
        <v>2.1388841107851388</v>
      </c>
      <c r="L34" s="180">
        <f>IF(OR($H34="",$D34=""),"",$H34-$D34)</f>
        <v>2.9495211887727066</v>
      </c>
      <c r="M34" s="183" t="str" cm="1">
        <f t="array" ref="M34">IF(OR($E34="",$AM34=0),"",(SUM($E34:$G34)-INDEX($E34:$G34,$AP34))/2)</f>
        <v/>
      </c>
      <c r="N34" s="184" t="str">
        <f>IF($M34="","",$H34-$M34)</f>
        <v/>
      </c>
      <c r="O34" s="185" t="str">
        <f>IF($M34="","",ABS(CHOOSE($AP34,$F34-$G34,$E34-$G34,$E34-$F34))/SQRT(2)/$M34*100)</f>
        <v/>
      </c>
      <c r="P34" s="186" t="str">
        <f>IF($O34="","",ROUND($J34-$O34,3))</f>
        <v/>
      </c>
      <c r="R34" s="170" t="str">
        <f>IF('2026-07_결과정리'!N24="","",'2026-07_결과정리'!N24)</f>
        <v/>
      </c>
      <c r="S34" s="174" t="str">
        <f>IF('2026-07_결과정리'!O24="","",'2026-07_결과정리'!O24)</f>
        <v/>
      </c>
      <c r="T34" s="154" t="str">
        <f>IF('2026-07_결과정리'!P24="","",'2026-07_결과정리'!P24)</f>
        <v/>
      </c>
      <c r="U34" s="160" t="str">
        <f>IF('2026-07_결과정리'!Q24="","",'2026-07_결과정리'!Q24)</f>
        <v/>
      </c>
      <c r="V34" s="160" t="str">
        <f>IF('2026-07_결과정리'!R24="","",'2026-07_결과정리'!R24)</f>
        <v/>
      </c>
      <c r="W34" s="160" t="str">
        <f>IF('2026-07_결과정리'!S24="","",'2026-07_결과정리'!S24)</f>
        <v/>
      </c>
      <c r="X34" s="154" t="str" cm="1">
        <f t="array" ref="X34">IF($U34="","",IF($AO34=0,AVERAGE($U34:$W34),(SUM($U34:$W34)-INDEX($U34:$W34,$AO34))/2))</f>
        <v/>
      </c>
      <c r="Y34" s="154" t="str">
        <f>IF($U34="","",IF($AO34=0,STDEV($U34:$W34),ABS(CHOOSE($AO34,$V34-$W34,$U34-$W34,$U34-$V34))/SQRT(2)))</f>
        <v/>
      </c>
      <c r="Z34" s="155" t="str">
        <f>IF($X34="","",$Y34/$X34*100)</f>
        <v/>
      </c>
      <c r="AA34" s="154" t="str">
        <f>IF(OR($X34="",$T34=""),"",($X34-$T34)/$T34*100)</f>
        <v/>
      </c>
      <c r="AB34" s="180" t="str">
        <f>IF(OR($X34="",$T34=""),"",$X34-$T34)</f>
        <v/>
      </c>
      <c r="AC34" s="183" t="str" cm="1">
        <f t="array" ref="AC34">IF(OR($U34="",$AM34=0),"",(SUM($U34:$W34)-INDEX($U34:$W34,$AQ34))/2)</f>
        <v/>
      </c>
      <c r="AD34" s="184" t="str">
        <f>IF($AC34="","",$X34-$AC34)</f>
        <v/>
      </c>
      <c r="AE34" s="185" t="str">
        <f>IF($AC34="","",ABS(CHOOSE($AQ34,$V34-$W34,$U34-$W34,$U34-$V34))/SQRT(2)/$AC34*100)</f>
        <v/>
      </c>
      <c r="AF34" s="186" t="str">
        <f>IF($AE34="","",ROUND($Z34-$AE34,3))</f>
        <v/>
      </c>
      <c r="AM34">
        <v>0</v>
      </c>
      <c r="AN34" cm="1">
        <f t="array" ref="AN34">IF($AM34=0,0,INDEX($U$72:$U$83,2*$AM34-1))</f>
        <v>0</v>
      </c>
      <c r="AO34" cm="1">
        <f t="array" ref="AO34">IF($AM34=0,0,INDEX($U$72:$U$83,2*$AM34))</f>
        <v>0</v>
      </c>
      <c r="AP34" cm="1">
        <f t="array" ref="AP34">IF($AM34=0,0,INDEX($AY$72:$AY$83,2*$AM34-1))</f>
        <v>0</v>
      </c>
      <c r="AQ34" cm="1">
        <f t="array" ref="AQ34">IF($AM34=0,0,INDEX($AY$72:$AY$83,2*$AM34))</f>
        <v>0</v>
      </c>
    </row>
    <row r="35" spans="2:43">
      <c r="B35" s="170" t="str">
        <f>IF('2026-07_결과정리'!B25="","",'2026-07_결과정리'!B25)</f>
        <v xml:space="preserve">LDL </v>
      </c>
      <c r="C35" s="174" t="str">
        <f>IF('2026-07_결과정리'!C25="","",'2026-07_결과정리'!C25)</f>
        <v>CS 01-01</v>
      </c>
      <c r="D35" s="154" t="str">
        <f>IF('2026-07_결과정리'!D25="","",'2026-07_결과정리'!D25)</f>
        <v/>
      </c>
      <c r="E35" s="160">
        <f>IF('2026-07_결과정리'!E25="","",'2026-07_결과정리'!E25)</f>
        <v>113.58534947716019</v>
      </c>
      <c r="F35" s="160">
        <f>IF('2026-07_결과정리'!F25="","",'2026-07_결과정리'!F25)</f>
        <v>113.96069345074299</v>
      </c>
      <c r="G35" s="160">
        <f>IF('2026-07_결과정리'!G25="","",'2026-07_결과정리'!G25)</f>
        <v>113.0702146395157</v>
      </c>
      <c r="H35" s="154" cm="1">
        <f t="array" ref="H35">IF($E35="","",IF($AN35=0,AVERAGE($E35:$G35),(SUM($E35:$G35)-INDEX($E35:$G35,$AN35))/2))</f>
        <v>113.51545404512933</v>
      </c>
      <c r="I35" s="154">
        <f>IF($E35="","",IF($AN35=0,STDEV($E35:$G35),ABS(CHOOSE($AN35,$F35-$G35,$E35-$G35,$E35-$F35))/SQRT(2)))</f>
        <v>0.62966360592175707</v>
      </c>
      <c r="J35" s="155">
        <f>IF($H35="","",$I35/$H35*100)</f>
        <v>0.55469417025053458</v>
      </c>
      <c r="K35" s="154" t="str">
        <f>IF(OR($H35="",$D35=""),"",($H35-$D35)/$D35*100)</f>
        <v/>
      </c>
      <c r="L35" s="180" t="str">
        <f>IF(OR($H35="",$D35=""),"",$H35-$D35)</f>
        <v/>
      </c>
      <c r="M35" s="183" cm="1">
        <f t="array" ref="M35">IF(OR($E35="",$AM35=0),"",(SUM($E35:$G35)-INDEX($E35:$G35,$AP35))/2)</f>
        <v>113.77302146395158</v>
      </c>
      <c r="N35" s="184">
        <f>IF($M35="","",$H35-$M35)</f>
        <v>-0.25756741882224787</v>
      </c>
      <c r="O35" s="185">
        <f>IF($M35="","",ABS(CHOOSE($AP35,$F35-$G35,$E35-$G35,$E35-$F35))/SQRT(2)/$M35*100)</f>
        <v>0.23327873830088641</v>
      </c>
      <c r="P35" s="186">
        <f>IF($O35="","",ROUND($J35-$O35,3))</f>
        <v>0.32100000000000001</v>
      </c>
      <c r="R35" s="170" t="str">
        <f>IF('2026-07_결과정리'!N25="","",'2026-07_결과정리'!N25)</f>
        <v xml:space="preserve">LDL </v>
      </c>
      <c r="S35" s="174" t="str">
        <f>IF('2026-07_결과정리'!O25="","",'2026-07_결과정리'!O25)</f>
        <v>CS 01-01</v>
      </c>
      <c r="T35" s="154" t="str">
        <f>IF('2026-07_결과정리'!P25="","",'2026-07_결과정리'!P25)</f>
        <v/>
      </c>
      <c r="U35" s="160">
        <f>IF('2026-07_결과정리'!Q25="","",'2026-07_결과정리'!Q25)</f>
        <v>113.22889681668489</v>
      </c>
      <c r="V35" s="160">
        <f>IF('2026-07_결과정리'!R25="","",'2026-07_결과정리'!R25)</f>
        <v>114.6350439077936</v>
      </c>
      <c r="W35" s="160">
        <f>IF('2026-07_결과정리'!S25="","",'2026-07_결과정리'!S25)</f>
        <v>113.632848518112</v>
      </c>
      <c r="X35" s="154" cm="1">
        <f t="array" ref="X35">IF($U35="","",IF($AO35=0,AVERAGE($U35:$W35),(SUM($U35:$W35)-INDEX($U35:$W35,$AO35))/2))</f>
        <v>113.43087266739843</v>
      </c>
      <c r="Y35" s="154">
        <f>IF($U35="","",IF($AO35=0,STDEV($U35:$W35),ABS(CHOOSE($AO35,$V35-$W35,$U35-$W35,$U35-$V35))/SQRT(2)))</f>
        <v>0.28563698735094889</v>
      </c>
      <c r="Z35" s="155">
        <f>IF($X35="","",$Y35/$X35*100)</f>
        <v>0.25181591275286452</v>
      </c>
      <c r="AA35" s="154" t="str">
        <f>IF(OR($X35="",$T35=""),"",($X35-$T35)/$T35*100)</f>
        <v/>
      </c>
      <c r="AB35" s="180" t="str">
        <f>IF(OR($X35="",$T35=""),"",$X35-$T35)</f>
        <v/>
      </c>
      <c r="AC35" s="183" cm="1">
        <f t="array" ref="AC35">IF(OR($U35="",$AM35=0),"",(SUM($U35:$W35)-INDEX($U35:$W35,$AQ35))/2)</f>
        <v>113.43087266739843</v>
      </c>
      <c r="AD35" s="184">
        <f>IF($AC35="","",$X35-$AC35)</f>
        <v>0</v>
      </c>
      <c r="AE35" s="185">
        <f>IF($AC35="","",ABS(CHOOSE($AQ35,$V35-$W35,$U35-$W35,$U35-$V35))/SQRT(2)/$AC35*100)</f>
        <v>0.25181591275286452</v>
      </c>
      <c r="AF35" s="186">
        <f>IF($AE35="","",ROUND($Z35-$AE35,3))</f>
        <v>0</v>
      </c>
      <c r="AM35">
        <v>1</v>
      </c>
      <c r="AN35" cm="1">
        <f t="array" ref="AN35">IF($AM35=0,0,INDEX($U$72:$U$83,2*$AM35-1))</f>
        <v>1</v>
      </c>
      <c r="AO35" cm="1">
        <f t="array" ref="AO35">IF($AM35=0,0,INDEX($U$72:$U$83,2*$AM35))</f>
        <v>2</v>
      </c>
      <c r="AP35" cm="1">
        <f t="array" ref="AP35">IF($AM35=0,0,INDEX($AY$72:$AY$83,2*$AM35-1))</f>
        <v>3</v>
      </c>
      <c r="AQ35" cm="1">
        <f t="array" ref="AQ35">IF($AM35=0,0,INDEX($AY$72:$AY$83,2*$AM35))</f>
        <v>2</v>
      </c>
    </row>
    <row r="36" spans="2:43">
      <c r="B36" s="170" t="str">
        <f>IF('2026-07_결과정리'!B26="","",'2026-07_결과정리'!B26)</f>
        <v/>
      </c>
      <c r="C36" s="174" t="str">
        <f>IF('2026-07_결과정리'!C26="","",'2026-07_결과정리'!C26)</f>
        <v>CS 01-02</v>
      </c>
      <c r="D36" s="154" t="str">
        <f>IF('2026-07_결과정리'!D26="","",'2026-07_결과정리'!D26)</f>
        <v/>
      </c>
      <c r="E36" s="160">
        <f>IF('2026-07_결과정리'!E26="","",'2026-07_결과정리'!E26)</f>
        <v>114.1753329664282</v>
      </c>
      <c r="F36" s="160">
        <f>IF('2026-07_결과정리'!F26="","",'2026-07_결과정리'!F26)</f>
        <v>114.4857347275729</v>
      </c>
      <c r="G36" s="160">
        <f>IF('2026-07_결과정리'!G26="","",'2026-07_결과정리'!G26)</f>
        <v>114.0955310952119</v>
      </c>
      <c r="H36" s="154" cm="1">
        <f t="array" ref="H36">IF($E36="","",IF($AN36=0,AVERAGE($E36:$G36),(SUM($E36:$G36)-INDEX($E36:$G36,$AN36))/2))</f>
        <v>114.29063291139241</v>
      </c>
      <c r="I36" s="154">
        <f>IF($E36="","",IF($AN36=0,STDEV($E36:$G36),ABS(CHOOSE($AN36,$F36-$G36,$E36-$G36,$E36-$F36))/SQRT(2)))</f>
        <v>0.27591563448609102</v>
      </c>
      <c r="J36" s="155">
        <f>IF($H36="","",$I36/$H36*100)</f>
        <v>0.24141579012866587</v>
      </c>
      <c r="K36" s="154" t="str">
        <f>IF(OR($H36="",$D36=""),"",($H36-$D36)/$D36*100)</f>
        <v/>
      </c>
      <c r="L36" s="180" t="str">
        <f>IF(OR($H36="",$D36=""),"",$H36-$D36)</f>
        <v/>
      </c>
      <c r="M36" s="183" cm="1">
        <f t="array" ref="M36">IF(OR($E36="",$AM36=0),"",(SUM($E36:$G36)-INDEX($E36:$G36,$AP36))/2)</f>
        <v>114.29063291139241</v>
      </c>
      <c r="N36" s="184">
        <f>IF($M36="","",$H36-$M36)</f>
        <v>0</v>
      </c>
      <c r="O36" s="185">
        <f>IF($M36="","",ABS(CHOOSE($AP36,$F36-$G36,$E36-$G36,$E36-$F36))/SQRT(2)/$M36*100)</f>
        <v>0.24141579012866587</v>
      </c>
      <c r="P36" s="186">
        <f>IF($O36="","",ROUND($J36-$O36,3))</f>
        <v>0</v>
      </c>
      <c r="R36" s="170" t="str">
        <f>IF('2026-07_결과정리'!N26="","",'2026-07_결과정리'!N26)</f>
        <v/>
      </c>
      <c r="S36" s="174" t="str">
        <f>IF('2026-07_결과정리'!O26="","",'2026-07_결과정리'!O26)</f>
        <v>CS 01-02</v>
      </c>
      <c r="T36" s="154" t="str">
        <f>IF('2026-07_결과정리'!P26="","",'2026-07_결과정리'!P26)</f>
        <v/>
      </c>
      <c r="U36" s="160">
        <f>IF('2026-07_결과정리'!Q26="","",'2026-07_결과정리'!Q26)</f>
        <v>114.77500000000001</v>
      </c>
      <c r="V36" s="160">
        <f>IF('2026-07_결과정리'!R26="","",'2026-07_결과정리'!R26)</f>
        <v>114.1515093304062</v>
      </c>
      <c r="W36" s="160">
        <f>IF('2026-07_결과정리'!S26="","",'2026-07_결과정리'!S26)</f>
        <v>113.0488748627881</v>
      </c>
      <c r="X36" s="154" cm="1">
        <f t="array" ref="X36">IF($U36="","",IF($AO36=0,AVERAGE($U36:$W36),(SUM($U36:$W36)-INDEX($U36:$W36,$AO36))/2))</f>
        <v>113.60019209659713</v>
      </c>
      <c r="Y36" s="154">
        <f>IF($U36="","",IF($AO36=0,STDEV($U36:$W36),ABS(CHOOSE($AO36,$V36-$W36,$U36-$W36,$U36-$V36))/SQRT(2)))</f>
        <v>0.77968030922277898</v>
      </c>
      <c r="Z36" s="155">
        <f>IF($X36="","",$Y36/$X36*100)</f>
        <v>0.6863371397821203</v>
      </c>
      <c r="AA36" s="154" t="str">
        <f>IF(OR($X36="",$T36=""),"",($X36-$T36)/$T36*100)</f>
        <v/>
      </c>
      <c r="AB36" s="180" t="str">
        <f>IF(OR($X36="",$T36=""),"",$X36-$T36)</f>
        <v/>
      </c>
      <c r="AC36" s="183" cm="1">
        <f t="array" ref="AC36">IF(OR($U36="",$AM36=0),"",(SUM($U36:$W36)-INDEX($U36:$W36,$AQ36))/2)</f>
        <v>114.46325466520308</v>
      </c>
      <c r="AD36" s="184">
        <f>IF($AC36="","",$X36-$AC36)</f>
        <v>-0.86306256860595454</v>
      </c>
      <c r="AE36" s="185">
        <f>IF($AC36="","",ABS(CHOOSE($AQ36,$V36-$W36,$U36-$W36,$U36-$V36))/SQRT(2)/$AC36*100)</f>
        <v>0.38516682210884917</v>
      </c>
      <c r="AF36" s="186">
        <f>IF($AE36="","",ROUND($Z36-$AE36,3))</f>
        <v>0.30099999999999999</v>
      </c>
      <c r="AM36">
        <v>2</v>
      </c>
      <c r="AN36" cm="1">
        <f t="array" ref="AN36">IF($AM36=0,0,INDEX($U$72:$U$83,2*$AM36-1))</f>
        <v>1</v>
      </c>
      <c r="AO36" cm="1">
        <f t="array" ref="AO36">IF($AM36=0,0,INDEX($U$72:$U$83,2*$AM36))</f>
        <v>1</v>
      </c>
      <c r="AP36" cm="1">
        <f t="array" ref="AP36">IF($AM36=0,0,INDEX($AY$72:$AY$83,2*$AM36-1))</f>
        <v>1</v>
      </c>
      <c r="AQ36" cm="1">
        <f t="array" ref="AQ36">IF($AM36=0,0,INDEX($AY$72:$AY$83,2*$AM36))</f>
        <v>3</v>
      </c>
    </row>
    <row r="37" spans="2:43">
      <c r="B37" s="170" t="str">
        <f>IF('2026-07_결과정리'!B27="","",'2026-07_결과정리'!B27)</f>
        <v/>
      </c>
      <c r="C37" s="174" t="str">
        <f>IF('2026-07_결과정리'!C27="","",'2026-07_결과정리'!C27)</f>
        <v>CS 02-01</v>
      </c>
      <c r="D37" s="154" t="str">
        <f>IF('2026-07_결과정리'!D27="","",'2026-07_결과정리'!D27)</f>
        <v/>
      </c>
      <c r="E37" s="160">
        <f>IF('2026-07_결과정리'!E27="","",'2026-07_결과정리'!E27)</f>
        <v>182.73944964226749</v>
      </c>
      <c r="F37" s="160">
        <f>IF('2026-07_결과정리'!F27="","",'2026-07_결과정리'!F27)</f>
        <v>184.2050522839846</v>
      </c>
      <c r="G37" s="160">
        <f>IF('2026-07_결과정리'!G27="","",'2026-07_결과정리'!G27)</f>
        <v>183.51930654925701</v>
      </c>
      <c r="H37" s="154" cm="1">
        <f t="array" ref="H37">IF($E37="","",IF($AN37=0,AVERAGE($E37:$G37),(SUM($E37:$G37)-INDEX($E37:$G37,$AN37))/2))</f>
        <v>183.47225096312602</v>
      </c>
      <c r="I37" s="154">
        <f>IF($E37="","",IF($AN37=0,STDEV($E37:$G37),ABS(CHOOSE($AN37,$F37-$G37,$E37-$G37,$E37-$F37))/SQRT(2)))</f>
        <v>1.0363375664830878</v>
      </c>
      <c r="J37" s="155">
        <f>IF($H37="","",$I37/$H37*100)</f>
        <v>0.56484703329408081</v>
      </c>
      <c r="K37" s="154" t="str">
        <f>IF(OR($H37="",$D37=""),"",($H37-$D37)/$D37*100)</f>
        <v/>
      </c>
      <c r="L37" s="180" t="str">
        <f>IF(OR($H37="",$D37=""),"",$H37-$D37)</f>
        <v/>
      </c>
      <c r="M37" s="183" cm="1">
        <f t="array" ref="M37">IF(OR($E37="",$AM37=0),"",(SUM($E37:$G37)-INDEX($E37:$G37,$AP37))/2)</f>
        <v>183.86217941662079</v>
      </c>
      <c r="N37" s="184">
        <f>IF($M37="","",$H37-$M37)</f>
        <v>-0.38992845349477534</v>
      </c>
      <c r="O37" s="185">
        <f>IF($M37="","",ABS(CHOOSE($AP37,$F37-$G37,$E37-$G37,$E37-$F37))/SQRT(2)/$M37*100)</f>
        <v>0.26372767946848147</v>
      </c>
      <c r="P37" s="186">
        <f>IF($O37="","",ROUND($J37-$O37,3))</f>
        <v>0.30099999999999999</v>
      </c>
      <c r="R37" s="170" t="str">
        <f>IF('2026-07_결과정리'!N27="","",'2026-07_결과정리'!N27)</f>
        <v/>
      </c>
      <c r="S37" s="174" t="str">
        <f>IF('2026-07_결과정리'!O27="","",'2026-07_결과정리'!O27)</f>
        <v>CS 02-01</v>
      </c>
      <c r="T37" s="154" t="str">
        <f>IF('2026-07_결과정리'!P27="","",'2026-07_결과정리'!P27)</f>
        <v/>
      </c>
      <c r="U37" s="160">
        <f>IF('2026-07_결과정리'!Q27="","",'2026-07_결과정리'!Q27)</f>
        <v>183.26018111964871</v>
      </c>
      <c r="V37" s="160">
        <f>IF('2026-07_결과정리'!R27="","",'2026-07_결과정리'!R27)</f>
        <v>183.38476948408339</v>
      </c>
      <c r="W37" s="160">
        <f>IF('2026-07_결과정리'!S27="","",'2026-07_결과정리'!S27)</f>
        <v>183.42483534577389</v>
      </c>
      <c r="X37" s="154" cm="1">
        <f t="array" ref="X37">IF($U37="","",IF($AO37=0,AVERAGE($U37:$W37),(SUM($U37:$W37)-INDEX($U37:$W37,$AO37))/2))</f>
        <v>183.34250823271131</v>
      </c>
      <c r="Y37" s="154">
        <f>IF($U37="","",IF($AO37=0,STDEV($U37:$W37),ABS(CHOOSE($AO37,$V37-$W37,$U37-$W37,$U37-$V37))/SQRT(2)))</f>
        <v>0.11642811984413765</v>
      </c>
      <c r="Z37" s="155">
        <f>IF($X37="","",$Y37/$X37*100)</f>
        <v>6.3503069182602664E-2</v>
      </c>
      <c r="AA37" s="154" t="str">
        <f>IF(OR($X37="",$T37=""),"",($X37-$T37)/$T37*100)</f>
        <v/>
      </c>
      <c r="AB37" s="180" t="str">
        <f>IF(OR($X37="",$T37=""),"",$X37-$T37)</f>
        <v/>
      </c>
      <c r="AC37" s="183" cm="1">
        <f t="array" ref="AC37">IF(OR($U37="",$AM37=0),"",(SUM($U37:$W37)-INDEX($U37:$W37,$AQ37))/2)</f>
        <v>183.34250823271131</v>
      </c>
      <c r="AD37" s="184">
        <f>IF($AC37="","",$X37-$AC37)</f>
        <v>0</v>
      </c>
      <c r="AE37" s="185">
        <f>IF($AC37="","",ABS(CHOOSE($AQ37,$V37-$W37,$U37-$W37,$U37-$V37))/SQRT(2)/$AC37*100)</f>
        <v>6.3503069182602664E-2</v>
      </c>
      <c r="AF37" s="186">
        <f>IF($AE37="","",ROUND($Z37-$AE37,3))</f>
        <v>0</v>
      </c>
      <c r="AM37">
        <v>3</v>
      </c>
      <c r="AN37" cm="1">
        <f t="array" ref="AN37">IF($AM37=0,0,INDEX($U$72:$U$83,2*$AM37-1))</f>
        <v>3</v>
      </c>
      <c r="AO37" cm="1">
        <f t="array" ref="AO37">IF($AM37=0,0,INDEX($U$72:$U$83,2*$AM37))</f>
        <v>2</v>
      </c>
      <c r="AP37" cm="1">
        <f t="array" ref="AP37">IF($AM37=0,0,INDEX($AY$72:$AY$83,2*$AM37-1))</f>
        <v>1</v>
      </c>
      <c r="AQ37" cm="1">
        <f t="array" ref="AQ37">IF($AM37=0,0,INDEX($AY$72:$AY$83,2*$AM37))</f>
        <v>2</v>
      </c>
    </row>
    <row r="38" spans="2:43">
      <c r="B38" s="170" t="str">
        <f>IF('2026-07_결과정리'!B28="","",'2026-07_결과정리'!B28)</f>
        <v/>
      </c>
      <c r="C38" s="174" t="str">
        <f>IF('2026-07_결과정리'!C28="","",'2026-07_결과정리'!C28)</f>
        <v>CS 02-02</v>
      </c>
      <c r="D38" s="154" t="str">
        <f>IF('2026-07_결과정리'!D28="","",'2026-07_결과정리'!D28)</f>
        <v/>
      </c>
      <c r="E38" s="160">
        <f>IF('2026-07_결과정리'!E28="","",'2026-07_결과정리'!E28)</f>
        <v>183.7746725371492</v>
      </c>
      <c r="F38" s="160">
        <f>IF('2026-07_결과정리'!F28="","",'2026-07_결과정리'!F28)</f>
        <v>182.80934507429831</v>
      </c>
      <c r="G38" s="160">
        <f>IF('2026-07_결과정리'!G28="","",'2026-07_결과정리'!G28)</f>
        <v>183.99481563015959</v>
      </c>
      <c r="H38" s="154" cm="1">
        <f t="array" ref="H38">IF($E38="","",IF($AN38=0,AVERAGE($E38:$G38),(SUM($E38:$G38)-INDEX($E38:$G38,$AN38))/2))</f>
        <v>183.40208035222895</v>
      </c>
      <c r="I38" s="154">
        <f>IF($E38="","",IF($AN38=0,STDEV($E38:$G38),ABS(CHOOSE($AN38,$F38-$G38,$E38-$G38,$E38-$F38))/SQRT(2)))</f>
        <v>0.83825426894650146</v>
      </c>
      <c r="J38" s="155">
        <f>IF($H38="","",$I38/$H38*100)</f>
        <v>0.45705821184613071</v>
      </c>
      <c r="K38" s="154" t="str">
        <f>IF(OR($H38="",$D38=""),"",($H38-$D38)/$D38*100)</f>
        <v/>
      </c>
      <c r="L38" s="180" t="str">
        <f>IF(OR($H38="",$D38=""),"",$H38-$D38)</f>
        <v/>
      </c>
      <c r="M38" s="183" cm="1">
        <f t="array" ref="M38">IF(OR($E38="",$AM38=0),"",(SUM($E38:$G38)-INDEX($E38:$G38,$AP38))/2)</f>
        <v>183.88474408365437</v>
      </c>
      <c r="N38" s="184">
        <f>IF($M38="","",$H38-$M38)</f>
        <v>-0.48266373142541852</v>
      </c>
      <c r="O38" s="185">
        <f>IF($M38="","",ABS(CHOOSE($AP38,$F38-$G38,$E38-$G38,$E38-$F38))/SQRT(2)/$M38*100)</f>
        <v>8.4653392359843121E-2</v>
      </c>
      <c r="P38" s="186">
        <f>IF($O38="","",ROUND($J38-$O38,3))</f>
        <v>0.372</v>
      </c>
      <c r="R38" s="170" t="str">
        <f>IF('2026-07_결과정리'!N28="","",'2026-07_결과정리'!N28)</f>
        <v/>
      </c>
      <c r="S38" s="174" t="str">
        <f>IF('2026-07_결과정리'!O28="","",'2026-07_결과정리'!O28)</f>
        <v>CS 02-02</v>
      </c>
      <c r="T38" s="154" t="str">
        <f>IF('2026-07_결과정리'!P28="","",'2026-07_결과정리'!P28)</f>
        <v/>
      </c>
      <c r="U38" s="160">
        <f>IF('2026-07_결과정리'!Q28="","",'2026-07_결과정리'!Q28)</f>
        <v>184.3479967069155</v>
      </c>
      <c r="V38" s="160">
        <f>IF('2026-07_결과정리'!R28="","",'2026-07_결과정리'!R28)</f>
        <v>183.44020307354549</v>
      </c>
      <c r="W38" s="160">
        <f>IF('2026-07_결과정리'!S28="","",'2026-07_결과정리'!S28)</f>
        <v>185.79969813391881</v>
      </c>
      <c r="X38" s="154" cm="1">
        <f t="array" ref="X38">IF($U38="","",IF($AO38=0,AVERAGE($U38:$W38),(SUM($U38:$W38)-INDEX($U38:$W38,$AO38))/2))</f>
        <v>183.89409989023051</v>
      </c>
      <c r="Y38" s="154">
        <f>IF($U38="","",IF($AO38=0,STDEV($U38:$W38),ABS(CHOOSE($AO38,$V38-$W38,$U38-$W38,$U38-$V38))/SQRT(2)))</f>
        <v>0.64190703407390515</v>
      </c>
      <c r="Z38" s="155">
        <f>IF($X38="","",$Y38/$X38*100)</f>
        <v>0.34906341990149237</v>
      </c>
      <c r="AA38" s="154" t="str">
        <f>IF(OR($X38="",$T38=""),"",($X38-$T38)/$T38*100)</f>
        <v/>
      </c>
      <c r="AB38" s="180" t="str">
        <f>IF(OR($X38="",$T38=""),"",$X38-$T38)</f>
        <v/>
      </c>
      <c r="AC38" s="183" cm="1">
        <f t="array" ref="AC38">IF(OR($U38="",$AM38=0),"",(SUM($U38:$W38)-INDEX($U38:$W38,$AQ38))/2)</f>
        <v>183.89409989023051</v>
      </c>
      <c r="AD38" s="184">
        <f>IF($AC38="","",$X38-$AC38)</f>
        <v>0</v>
      </c>
      <c r="AE38" s="185">
        <f>IF($AC38="","",ABS(CHOOSE($AQ38,$V38-$W38,$U38-$W38,$U38-$V38))/SQRT(2)/$AC38*100)</f>
        <v>0.34906341990149237</v>
      </c>
      <c r="AF38" s="186">
        <f>IF($AE38="","",ROUND($Z38-$AE38,3))</f>
        <v>0</v>
      </c>
      <c r="AM38">
        <v>4</v>
      </c>
      <c r="AN38" cm="1">
        <f t="array" ref="AN38">IF($AM38=0,0,INDEX($U$72:$U$83,2*$AM38-1))</f>
        <v>1</v>
      </c>
      <c r="AO38" cm="1">
        <f t="array" ref="AO38">IF($AM38=0,0,INDEX($U$72:$U$83,2*$AM38))</f>
        <v>3</v>
      </c>
      <c r="AP38" cm="1">
        <f t="array" ref="AP38">IF($AM38=0,0,INDEX($AY$72:$AY$83,2*$AM38-1))</f>
        <v>2</v>
      </c>
      <c r="AQ38" cm="1">
        <f t="array" ref="AQ38">IF($AM38=0,0,INDEX($AY$72:$AY$83,2*$AM38))</f>
        <v>3</v>
      </c>
    </row>
    <row r="39" spans="2:43">
      <c r="B39" s="170" t="str">
        <f>IF('2026-07_결과정리'!B29="","",'2026-07_결과정리'!B29)</f>
        <v/>
      </c>
      <c r="C39" s="174" t="str">
        <f>IF('2026-07_결과정리'!C29="","",'2026-07_결과정리'!C29)</f>
        <v>CS 03-01</v>
      </c>
      <c r="D39" s="154" t="str">
        <f>IF('2026-07_결과정리'!D29="","",'2026-07_결과정리'!D29)</f>
        <v/>
      </c>
      <c r="E39" s="160">
        <f>IF('2026-07_결과정리'!E29="","",'2026-07_결과정리'!E29)</f>
        <v>80.613968079251521</v>
      </c>
      <c r="F39" s="160">
        <f>IF('2026-07_결과정리'!F29="","",'2026-07_결과정리'!F29)</f>
        <v>80.098833241607039</v>
      </c>
      <c r="G39" s="160">
        <f>IF('2026-07_결과정리'!G29="","",'2026-07_결과정리'!G29)</f>
        <v>80.398778205833793</v>
      </c>
      <c r="H39" s="154" cm="1">
        <f t="array" ref="H39">IF($E39="","",IF($AN39=0,AVERAGE($E39:$G39),(SUM($E39:$G39)-INDEX($E39:$G39,$AN39))/2))</f>
        <v>80.356400660429273</v>
      </c>
      <c r="I39" s="154">
        <f>IF($E39="","",IF($AN39=0,STDEV($E39:$G39),ABS(CHOOSE($AN39,$F39-$G39,$E39-$G39,$E39-$F39))/SQRT(2)))</f>
        <v>0.36425533692384404</v>
      </c>
      <c r="J39" s="155">
        <f>IF($H39="","",$I39/$H39*100)</f>
        <v>0.45329971717264589</v>
      </c>
      <c r="K39" s="154" t="str">
        <f>IF(OR($H39="",$D39=""),"",($H39-$D39)/$D39*100)</f>
        <v/>
      </c>
      <c r="L39" s="180" t="str">
        <f>IF(OR($H39="",$D39=""),"",$H39-$D39)</f>
        <v/>
      </c>
      <c r="M39" s="183" cm="1">
        <f t="array" ref="M39">IF(OR($E39="",$AM39=0),"",(SUM($E39:$G39)-INDEX($E39:$G39,$AP39))/2)</f>
        <v>80.506373142542657</v>
      </c>
      <c r="N39" s="184">
        <f>IF($M39="","",$H39-$M39)</f>
        <v>-0.14997248211338388</v>
      </c>
      <c r="O39" s="185">
        <f>IF($M39="","",ABS(CHOOSE($AP39,$F39-$G39,$E39-$G39,$E39-$F39))/SQRT(2)/$M39*100)</f>
        <v>0.18900642619552052</v>
      </c>
      <c r="P39" s="186">
        <f>IF($O39="","",ROUND($J39-$O39,3))</f>
        <v>0.26400000000000001</v>
      </c>
      <c r="R39" s="170" t="str">
        <f>IF('2026-07_결과정리'!N29="","",'2026-07_결과정리'!N29)</f>
        <v/>
      </c>
      <c r="S39" s="174" t="str">
        <f>IF('2026-07_결과정리'!O29="","",'2026-07_결과정리'!O29)</f>
        <v>CS 03-01</v>
      </c>
      <c r="T39" s="154" t="str">
        <f>IF('2026-07_결과정리'!P29="","",'2026-07_결과정리'!P29)</f>
        <v/>
      </c>
      <c r="U39" s="160">
        <f>IF('2026-07_결과정리'!Q29="","",'2026-07_결과정리'!Q29)</f>
        <v>78.232189901207462</v>
      </c>
      <c r="V39" s="160">
        <f>IF('2026-07_결과정리'!R29="","",'2026-07_결과정리'!R29)</f>
        <v>78.760729967069153</v>
      </c>
      <c r="W39" s="160">
        <f>IF('2026-07_결과정리'!S29="","",'2026-07_결과정리'!S29)</f>
        <v>79.199807903402842</v>
      </c>
      <c r="X39" s="154" cm="1">
        <f t="array" ref="X39">IF($U39="","",IF($AO39=0,AVERAGE($U39:$W39),(SUM($U39:$W39)-INDEX($U39:$W39,$AO39))/2))</f>
        <v>78.715998902305145</v>
      </c>
      <c r="Y39" s="154">
        <f>IF($U39="","",IF($AO39=0,STDEV($U39:$W39),ABS(CHOOSE($AO39,$V39-$W39,$U39-$W39,$U39-$V39))/SQRT(2)))</f>
        <v>0.68420925095053264</v>
      </c>
      <c r="Z39" s="155">
        <f>IF($X39="","",$Y39/$X39*100)</f>
        <v>0.869212435199747</v>
      </c>
      <c r="AA39" s="154" t="str">
        <f>IF(OR($X39="",$T39=""),"",($X39-$T39)/$T39*100)</f>
        <v/>
      </c>
      <c r="AB39" s="180" t="str">
        <f>IF(OR($X39="",$T39=""),"",$X39-$T39)</f>
        <v/>
      </c>
      <c r="AC39" s="183" cm="1">
        <f t="array" ref="AC39">IF(OR($U39="",$AM39=0),"",(SUM($U39:$W39)-INDEX($U39:$W39,$AQ39))/2)</f>
        <v>78.980268935235983</v>
      </c>
      <c r="AD39" s="184">
        <f>IF($AC39="","",$X39-$AC39)</f>
        <v>-0.26427003293083828</v>
      </c>
      <c r="AE39" s="185">
        <f>IF($AC39="","",ABS(CHOOSE($AQ39,$V39-$W39,$U39-$W39,$U39-$V39))/SQRT(2)/$AC39*100)</f>
        <v>0.39310449361160932</v>
      </c>
      <c r="AF39" s="186">
        <f>IF($AE39="","",ROUND($Z39-$AE39,3))</f>
        <v>0.47599999999999998</v>
      </c>
      <c r="AM39">
        <v>5</v>
      </c>
      <c r="AN39" cm="1">
        <f t="array" ref="AN39">IF($AM39=0,0,INDEX($U$72:$U$83,2*$AM39-1))</f>
        <v>3</v>
      </c>
      <c r="AO39" cm="1">
        <f t="array" ref="AO39">IF($AM39=0,0,INDEX($U$72:$U$83,2*$AM39))</f>
        <v>2</v>
      </c>
      <c r="AP39" cm="1">
        <f t="array" ref="AP39">IF($AM39=0,0,INDEX($AY$72:$AY$83,2*$AM39-1))</f>
        <v>2</v>
      </c>
      <c r="AQ39" cm="1">
        <f t="array" ref="AQ39">IF($AM39=0,0,INDEX($AY$72:$AY$83,2*$AM39))</f>
        <v>1</v>
      </c>
    </row>
    <row r="40" spans="2:43">
      <c r="B40" s="170" t="str">
        <f>IF('2026-07_결과정리'!B30="","",'2026-07_결과정리'!B30)</f>
        <v/>
      </c>
      <c r="C40" s="174" t="str">
        <f>IF('2026-07_결과정리'!C30="","",'2026-07_결과정리'!C30)</f>
        <v>CS 03-02</v>
      </c>
      <c r="D40" s="154" t="str">
        <f>IF('2026-07_결과정리'!D30="","",'2026-07_결과정리'!D30)</f>
        <v/>
      </c>
      <c r="E40" s="160">
        <f>IF('2026-07_결과정리'!E30="","",'2026-07_결과정리'!E30)</f>
        <v>79.198447991194271</v>
      </c>
      <c r="F40" s="160">
        <f>IF('2026-07_결과정리'!F30="","",'2026-07_결과정리'!F30)</f>
        <v>79.333835993395724</v>
      </c>
      <c r="G40" s="160">
        <f>IF('2026-07_결과정리'!G30="","",'2026-07_결과정리'!G30)</f>
        <v>79.863830489818369</v>
      </c>
      <c r="H40" s="154" cm="1">
        <f t="array" ref="H40">IF($E40="","",IF($AN40=0,AVERAGE($E40:$G40),(SUM($E40:$G40)-INDEX($E40:$G40,$AN40))/2))</f>
        <v>79.26614199229499</v>
      </c>
      <c r="I40" s="154">
        <f>IF($E40="","",IF($AN40=0,STDEV($E40:$G40),ABS(CHOOSE($AN40,$F40-$G40,$E40-$G40,$E40-$F40))/SQRT(2)))</f>
        <v>9.5733774447946063E-2</v>
      </c>
      <c r="J40" s="155">
        <f>IF($H40="","",$I40/$H40*100)</f>
        <v>0.12077511537934039</v>
      </c>
      <c r="K40" s="154" t="str">
        <f>IF(OR($H40="",$D40=""),"",($H40-$D40)/$D40*100)</f>
        <v/>
      </c>
      <c r="L40" s="180" t="str">
        <f>IF(OR($H40="",$D40=""),"",$H40-$D40)</f>
        <v/>
      </c>
      <c r="M40" s="183" cm="1">
        <f t="array" ref="M40">IF(OR($E40="",$AM40=0),"",(SUM($E40:$G40)-INDEX($E40:$G40,$AP40))/2)</f>
        <v>79.53113924050632</v>
      </c>
      <c r="N40" s="184">
        <f>IF($M40="","",$H40-$M40)</f>
        <v>-0.26499724821132986</v>
      </c>
      <c r="O40" s="185">
        <f>IF($M40="","",ABS(CHOOSE($AP40,$F40-$G40,$E40-$G40,$E40-$F40))/SQRT(2)/$M40*100)</f>
        <v>0.59158774959471183</v>
      </c>
      <c r="P40" s="186">
        <f>IF($O40="","",ROUND($J40-$O40,3))</f>
        <v>-0.47099999999999997</v>
      </c>
      <c r="R40" s="170" t="str">
        <f>IF('2026-07_결과정리'!N30="","",'2026-07_결과정리'!N30)</f>
        <v/>
      </c>
      <c r="S40" s="174" t="str">
        <f>IF('2026-07_결과정리'!O30="","",'2026-07_결과정리'!O30)</f>
        <v>CS 03-02</v>
      </c>
      <c r="T40" s="154" t="str">
        <f>IF('2026-07_결과정리'!P30="","",'2026-07_결과정리'!P30)</f>
        <v/>
      </c>
      <c r="U40" s="160">
        <f>IF('2026-07_결과정리'!Q30="","",'2026-07_결과정리'!Q30)</f>
        <v>79.444593852908909</v>
      </c>
      <c r="V40" s="160">
        <f>IF('2026-07_결과정리'!R30="","",'2026-07_결과정리'!R30)</f>
        <v>79.334824368825466</v>
      </c>
      <c r="W40" s="160">
        <f>IF('2026-07_결과정리'!S30="","",'2026-07_결과정리'!S30)</f>
        <v>79.823847420417124</v>
      </c>
      <c r="X40" s="154" cm="1">
        <f t="array" ref="X40">IF($U40="","",IF($AO40=0,AVERAGE($U40:$W40),(SUM($U40:$W40)-INDEX($U40:$W40,$AO40))/2))</f>
        <v>79.579335894621295</v>
      </c>
      <c r="Y40" s="154">
        <f>IF($U40="","",IF($AO40=0,STDEV($U40:$W40),ABS(CHOOSE($AO40,$V40-$W40,$U40-$W40,$U40-$V40))/SQRT(2)))</f>
        <v>0.34579151593700058</v>
      </c>
      <c r="Z40" s="155">
        <f>IF($X40="","",$Y40/$X40*100)</f>
        <v>0.43452425438042941</v>
      </c>
      <c r="AA40" s="154" t="str">
        <f>IF(OR($X40="",$T40=""),"",($X40-$T40)/$T40*100)</f>
        <v/>
      </c>
      <c r="AB40" s="180" t="str">
        <f>IF(OR($X40="",$T40=""),"",$X40-$T40)</f>
        <v/>
      </c>
      <c r="AC40" s="183" cm="1">
        <f t="array" ref="AC40">IF(OR($U40="",$AM40=0),"",(SUM($U40:$W40)-INDEX($U40:$W40,$AQ40))/2)</f>
        <v>79.389709110867187</v>
      </c>
      <c r="AD40" s="184">
        <f>IF($AC40="","",$X40-$AC40)</f>
        <v>0.18962678375410746</v>
      </c>
      <c r="AE40" s="185">
        <f>IF($AC40="","",ABS(CHOOSE($AQ40,$V40-$W40,$U40-$W40,$U40-$V40))/SQRT(2)/$AC40*100)</f>
        <v>9.776927945958043E-2</v>
      </c>
      <c r="AF40" s="186">
        <f>IF($AE40="","",ROUND($Z40-$AE40,3))</f>
        <v>0.33700000000000002</v>
      </c>
      <c r="AM40">
        <v>6</v>
      </c>
      <c r="AN40" cm="1">
        <f t="array" ref="AN40">IF($AM40=0,0,INDEX($U$72:$U$83,2*$AM40-1))</f>
        <v>3</v>
      </c>
      <c r="AO40" cm="1">
        <f t="array" ref="AO40">IF($AM40=0,0,INDEX($U$72:$U$83,2*$AM40))</f>
        <v>1</v>
      </c>
      <c r="AP40" cm="1">
        <f t="array" ref="AP40">IF($AM40=0,0,INDEX($AY$72:$AY$83,2*$AM40-1))</f>
        <v>2</v>
      </c>
      <c r="AQ40" cm="1">
        <f t="array" ref="AQ40">IF($AM40=0,0,INDEX($AY$72:$AY$83,2*$AM40))</f>
        <v>3</v>
      </c>
    </row>
    <row r="43" spans="2:43" ht="18">
      <c r="B43" s="150" t="s">
        <v>214</v>
      </c>
    </row>
    <row r="44" spans="2:43" ht="39" customHeight="1">
      <c r="B44" s="152" t="s">
        <v>152</v>
      </c>
      <c r="C44" s="152"/>
      <c r="D44" s="152" t="s">
        <v>188</v>
      </c>
      <c r="E44" s="152" t="s">
        <v>189</v>
      </c>
      <c r="F44" s="152" t="s">
        <v>190</v>
      </c>
      <c r="G44" s="152" t="s">
        <v>191</v>
      </c>
      <c r="H44" s="152" t="s">
        <v>192</v>
      </c>
      <c r="I44" s="152" t="s">
        <v>193</v>
      </c>
      <c r="J44" s="152" t="s">
        <v>194</v>
      </c>
      <c r="K44" s="152" t="s">
        <v>195</v>
      </c>
      <c r="L44" s="152" t="s">
        <v>196</v>
      </c>
      <c r="M44" s="152" t="s">
        <v>197</v>
      </c>
      <c r="N44" s="152" t="s">
        <v>198</v>
      </c>
      <c r="O44" s="152" t="s">
        <v>199</v>
      </c>
      <c r="P44" s="152" t="s">
        <v>200</v>
      </c>
    </row>
    <row r="45" spans="2:43">
      <c r="B45" s="158" t="str" cm="1">
        <f t="array" ref="B45">INDEX($B$72:$B$83,2*$D45-1)</f>
        <v>CS 01-01</v>
      </c>
      <c r="C45" s="158"/>
      <c r="D45" s="158">
        <v>1</v>
      </c>
      <c r="E45" s="161" cm="1">
        <f t="array" ref="E45">INDEX(W$72:W$83,2*$D45-1)</f>
        <v>159.78976334617499</v>
      </c>
      <c r="F45" s="161" cm="1">
        <f t="array" ref="F45">INDEX(W$72:W$83,2*$D45)</f>
        <v>160.48572996706918</v>
      </c>
      <c r="G45" s="161">
        <f>IFERROR(AVERAGE(E45:F45),"-")</f>
        <v>160.13774665662208</v>
      </c>
      <c r="H45" s="161" cm="1">
        <f t="array" ref="H45">INDEX(X$72:X$83,2*$D45-1)</f>
        <v>46.274309301045683</v>
      </c>
      <c r="I45" s="161" cm="1">
        <f t="array" ref="I45">INDEX(X$72:X$83,2*$D45)</f>
        <v>47.054857299670701</v>
      </c>
      <c r="J45" s="161">
        <f>IFERROR(AVERAGE(H45:I45),"-")</f>
        <v>46.664583300358188</v>
      </c>
      <c r="K45" s="161" cm="1">
        <f t="array" ref="K45">INDEX(Y$72:Y$83,2*$D45-1)</f>
        <v>113.51545404512933</v>
      </c>
      <c r="L45" s="161" cm="1">
        <f t="array" ref="L45">INDEX(Y$72:Y$83,2*$D45)</f>
        <v>113.43087266739843</v>
      </c>
      <c r="M45" s="161">
        <f>IFERROR(AVERAGE(K45:L45),"-")</f>
        <v>113.47316335626388</v>
      </c>
      <c r="N45" s="155">
        <f>IFERROR(ABS(K45-L45)/M45*100,"-")</f>
        <v>7.4538662031783401E-2</v>
      </c>
      <c r="O45" s="158" t="str">
        <f>IFERROR(IF(N45&lt;=$D$59,"적합","확인"),"-")</f>
        <v>적합</v>
      </c>
      <c r="P45" s="155">
        <f>IFERROR(M45-(G45-J45),"-")</f>
        <v>-1.4210854715202004E-14</v>
      </c>
    </row>
    <row r="46" spans="2:43">
      <c r="B46" s="158" t="str" cm="1">
        <f t="array" ref="B46">INDEX($B$72:$B$83,2*$D46-1)</f>
        <v>CS 01-02</v>
      </c>
      <c r="C46" s="158"/>
      <c r="D46" s="158">
        <v>2</v>
      </c>
      <c r="E46" s="161" cm="1">
        <f t="array" ref="E46">INDEX(W$72:W$83,2*$D46-1)</f>
        <v>160.17501375894335</v>
      </c>
      <c r="F46" s="161" cm="1">
        <f t="array" ref="F46">INDEX(W$72:W$83,2*$D46)</f>
        <v>160.26619099890232</v>
      </c>
      <c r="G46" s="161">
        <f t="shared" ref="G46:G50" si="0">IFERROR(AVERAGE(E46:F46),"-")</f>
        <v>160.22060237892282</v>
      </c>
      <c r="H46" s="161" cm="1">
        <f t="array" ref="H46">INDEX(X$72:X$83,2*$D46-1)</f>
        <v>45.884380847550901</v>
      </c>
      <c r="I46" s="161" cm="1">
        <f t="array" ref="I46">INDEX(X$72:X$83,2*$D46)</f>
        <v>46.665998902305169</v>
      </c>
      <c r="J46" s="161">
        <f t="shared" ref="J46:J50" si="1">IFERROR(AVERAGE(H46:I46),"-")</f>
        <v>46.275189874928031</v>
      </c>
      <c r="K46" s="161" cm="1">
        <f t="array" ref="K46">INDEX(Y$72:Y$83,2*$D46-1)</f>
        <v>114.29063291139241</v>
      </c>
      <c r="L46" s="161" cm="1">
        <f t="array" ref="L46">INDEX(Y$72:Y$83,2*$D46)</f>
        <v>113.60019209659713</v>
      </c>
      <c r="M46" s="161">
        <f t="shared" ref="M46:M50" si="2">IFERROR(AVERAGE(K46:L46),"-")</f>
        <v>113.94541250399476</v>
      </c>
      <c r="N46" s="155">
        <f t="shared" ref="N46:N50" si="3">IFERROR(ABS(K46-L46)/M46*100,"-")</f>
        <v>0.60593998443866703</v>
      </c>
      <c r="O46" s="158" t="str">
        <f t="shared" ref="O46:O50" si="4">IFERROR(IF(N46&lt;=$D$59,"적합","확인"),"-")</f>
        <v>적합</v>
      </c>
      <c r="P46" s="155">
        <f t="shared" ref="P46:P50" si="5">IFERROR(M46-(G46-J46),"-")</f>
        <v>-2.8421709430404007E-14</v>
      </c>
    </row>
    <row r="47" spans="2:43">
      <c r="B47" s="158" t="str" cm="1">
        <f t="array" ref="B47">INDEX($B$72:$B$83,2*$D47-1)</f>
        <v>CS 02-01</v>
      </c>
      <c r="C47" s="158"/>
      <c r="D47" s="158">
        <v>3</v>
      </c>
      <c r="E47" s="161" cm="1">
        <f t="array" ref="E47">INDEX(W$72:W$83,2*$D47-1)</f>
        <v>240.33461750137582</v>
      </c>
      <c r="F47" s="161" cm="1">
        <f t="array" ref="F47">INDEX(W$72:W$83,2*$D47)</f>
        <v>240.50768386388586</v>
      </c>
      <c r="G47" s="161">
        <f t="shared" si="0"/>
        <v>240.42115068263084</v>
      </c>
      <c r="H47" s="161" cm="1">
        <f t="array" ref="H47">INDEX(X$72:X$83,2*$D47-1)</f>
        <v>56.862366538249873</v>
      </c>
      <c r="I47" s="161" cm="1">
        <f t="array" ref="I47">INDEX(X$72:X$83,2*$D47)</f>
        <v>57.165175631174527</v>
      </c>
      <c r="J47" s="161">
        <f t="shared" si="1"/>
        <v>57.013771084712204</v>
      </c>
      <c r="K47" s="161" cm="1">
        <f t="array" ref="K47">INDEX(Y$72:Y$83,2*$D47-1)</f>
        <v>183.47225096312602</v>
      </c>
      <c r="L47" s="161" cm="1">
        <f t="array" ref="L47">INDEX(Y$72:Y$83,2*$D47)</f>
        <v>183.34250823271131</v>
      </c>
      <c r="M47" s="161">
        <f t="shared" si="2"/>
        <v>183.40737959791866</v>
      </c>
      <c r="N47" s="155">
        <f t="shared" si="3"/>
        <v>7.0740190879526266E-2</v>
      </c>
      <c r="O47" s="158" t="str">
        <f t="shared" si="4"/>
        <v>적합</v>
      </c>
      <c r="P47" s="155">
        <f t="shared" si="5"/>
        <v>2.8421709430404007E-14</v>
      </c>
    </row>
    <row r="48" spans="2:43">
      <c r="B48" s="158" t="str" cm="1">
        <f t="array" ref="B48">INDEX($B$72:$B$83,2*$D48-1)</f>
        <v>CS 02-02</v>
      </c>
      <c r="C48" s="158"/>
      <c r="D48" s="158">
        <v>4</v>
      </c>
      <c r="E48" s="161" cm="1">
        <f t="array" ref="E48">INDEX(W$72:W$83,2*$D48-1)</f>
        <v>240.11447440836548</v>
      </c>
      <c r="F48" s="161" cm="1">
        <f t="array" ref="F48">INDEX(W$72:W$83,2*$D48)</f>
        <v>241.35839736553237</v>
      </c>
      <c r="G48" s="161">
        <f t="shared" si="0"/>
        <v>240.73643588694893</v>
      </c>
      <c r="H48" s="161" cm="1">
        <f t="array" ref="H48">INDEX(X$72:X$83,2*$D48-1)</f>
        <v>56.712394056136503</v>
      </c>
      <c r="I48" s="161" cm="1">
        <f t="array" ref="I48">INDEX(X$72:X$83,2*$D48)</f>
        <v>57.464297475301883</v>
      </c>
      <c r="J48" s="161">
        <f t="shared" si="1"/>
        <v>57.088345765719197</v>
      </c>
      <c r="K48" s="161" cm="1">
        <f t="array" ref="K48">INDEX(Y$72:Y$83,2*$D48-1)</f>
        <v>183.40208035222895</v>
      </c>
      <c r="L48" s="161" cm="1">
        <f t="array" ref="L48">INDEX(Y$72:Y$83,2*$D48)</f>
        <v>183.89409989023051</v>
      </c>
      <c r="M48" s="161">
        <f t="shared" si="2"/>
        <v>183.64809012122973</v>
      </c>
      <c r="N48" s="155">
        <f t="shared" si="3"/>
        <v>0.26791432335439225</v>
      </c>
      <c r="O48" s="158" t="str">
        <f t="shared" si="4"/>
        <v>적합</v>
      </c>
      <c r="P48" s="155">
        <f t="shared" si="5"/>
        <v>0</v>
      </c>
    </row>
    <row r="49" spans="2:16">
      <c r="B49" s="158" t="str" cm="1">
        <f t="array" ref="B49">INDEX($B$72:$B$83,2*$D49-1)</f>
        <v>CS 03-01</v>
      </c>
      <c r="C49" s="158"/>
      <c r="D49" s="158">
        <v>5</v>
      </c>
      <c r="E49" s="161" cm="1">
        <f t="array" ref="E49">INDEX(W$72:W$83,2*$D49-1)</f>
        <v>132.62960924600986</v>
      </c>
      <c r="F49" s="161" cm="1">
        <f t="array" ref="F49">INDEX(W$72:W$83,2*$D49)</f>
        <v>131.42425905598247</v>
      </c>
      <c r="G49" s="161">
        <f t="shared" si="0"/>
        <v>132.02693415099617</v>
      </c>
      <c r="H49" s="161" cm="1">
        <f t="array" ref="H49">INDEX(X$72:X$83,2*$D49-1)</f>
        <v>52.273208585580633</v>
      </c>
      <c r="I49" s="161" cm="1">
        <f t="array" ref="I49">INDEX(X$72:X$83,2*$D49)</f>
        <v>52.708260153677287</v>
      </c>
      <c r="J49" s="161">
        <f t="shared" si="1"/>
        <v>52.49073436962896</v>
      </c>
      <c r="K49" s="161" cm="1">
        <f t="array" ref="K49">INDEX(Y$72:Y$83,2*$D49-1)</f>
        <v>80.356400660429273</v>
      </c>
      <c r="L49" s="161" cm="1">
        <f t="array" ref="L49">INDEX(Y$72:Y$83,2*$D49)</f>
        <v>78.715998902305145</v>
      </c>
      <c r="M49" s="161">
        <f t="shared" si="2"/>
        <v>79.536199781367202</v>
      </c>
      <c r="N49" s="155">
        <f t="shared" si="3"/>
        <v>2.0624593111480563</v>
      </c>
      <c r="O49" s="158" t="str">
        <f t="shared" si="4"/>
        <v>확인</v>
      </c>
      <c r="P49" s="155">
        <f t="shared" si="5"/>
        <v>0</v>
      </c>
    </row>
    <row r="50" spans="2:16">
      <c r="B50" s="158" t="str" cm="1">
        <f t="array" ref="B50">INDEX($B$72:$B$83,2*$D50-1)</f>
        <v>CS 03-02</v>
      </c>
      <c r="C50" s="158"/>
      <c r="D50" s="158">
        <v>6</v>
      </c>
      <c r="E50" s="161" cm="1">
        <f t="array" ref="E50">INDEX(W$72:W$83,2*$D50-1)</f>
        <v>132.07925151348374</v>
      </c>
      <c r="F50" s="161" cm="1">
        <f t="array" ref="F50">INDEX(W$72:W$83,2*$D50)</f>
        <v>132.46706915477498</v>
      </c>
      <c r="G50" s="161">
        <f t="shared" si="0"/>
        <v>132.27316033412936</v>
      </c>
      <c r="H50" s="161" cm="1">
        <f t="array" ref="H50">INDEX(X$72:X$83,2*$D50-1)</f>
        <v>52.813109521188771</v>
      </c>
      <c r="I50" s="161" cm="1">
        <f t="array" ref="I50">INDEX(X$72:X$83,2*$D50)</f>
        <v>52.887733260153681</v>
      </c>
      <c r="J50" s="161">
        <f t="shared" si="1"/>
        <v>52.850421390671229</v>
      </c>
      <c r="K50" s="161" cm="1">
        <f t="array" ref="K50">INDEX(Y$72:Y$83,2*$D50-1)</f>
        <v>79.26614199229499</v>
      </c>
      <c r="L50" s="161" cm="1">
        <f t="array" ref="L50">INDEX(Y$72:Y$83,2*$D50)</f>
        <v>79.579335894621295</v>
      </c>
      <c r="M50" s="161">
        <f t="shared" si="2"/>
        <v>79.422738943458143</v>
      </c>
      <c r="N50" s="155">
        <f t="shared" si="3"/>
        <v>0.39433782628583269</v>
      </c>
      <c r="O50" s="158" t="str">
        <f t="shared" si="4"/>
        <v>적합</v>
      </c>
      <c r="P50" s="155">
        <f t="shared" si="5"/>
        <v>1.4210854715202004E-14</v>
      </c>
    </row>
    <row r="53" spans="2:16" ht="18">
      <c r="B53" s="150" t="s">
        <v>215</v>
      </c>
    </row>
    <row r="54" spans="2:16">
      <c r="B54" s="152" t="s">
        <v>102</v>
      </c>
      <c r="C54" s="152" t="s">
        <v>104</v>
      </c>
      <c r="D54" s="152" t="s">
        <v>179</v>
      </c>
      <c r="E54" s="152" t="s">
        <v>180</v>
      </c>
      <c r="F54" s="152" t="s">
        <v>105</v>
      </c>
    </row>
    <row r="55" spans="2:16">
      <c r="B55" s="153" t="s">
        <v>181</v>
      </c>
      <c r="C55" s="153" t="s">
        <v>108</v>
      </c>
      <c r="D55" s="156">
        <v>1</v>
      </c>
      <c r="E55" s="153" t="s">
        <v>182</v>
      </c>
      <c r="F55" s="153" t="s">
        <v>109</v>
      </c>
    </row>
    <row r="56" spans="2:16">
      <c r="B56" s="153" t="s">
        <v>110</v>
      </c>
      <c r="C56" s="153" t="s">
        <v>112</v>
      </c>
      <c r="D56" s="156">
        <v>2</v>
      </c>
      <c r="E56" s="153" t="s">
        <v>182</v>
      </c>
      <c r="F56" s="153" t="s">
        <v>113</v>
      </c>
    </row>
    <row r="57" spans="2:16">
      <c r="B57" s="153" t="s">
        <v>114</v>
      </c>
      <c r="C57" s="153" t="s">
        <v>115</v>
      </c>
      <c r="D57" s="156">
        <v>1</v>
      </c>
      <c r="E57" s="153" t="s">
        <v>183</v>
      </c>
      <c r="F57" s="153" t="s">
        <v>116</v>
      </c>
    </row>
    <row r="58" spans="2:16">
      <c r="B58" s="153" t="s">
        <v>117</v>
      </c>
      <c r="C58" s="153" t="s">
        <v>112</v>
      </c>
      <c r="D58" s="156">
        <v>2</v>
      </c>
      <c r="E58" s="153" t="s">
        <v>182</v>
      </c>
      <c r="F58" s="153" t="s">
        <v>184</v>
      </c>
    </row>
    <row r="59" spans="2:16">
      <c r="B59" s="153" t="s">
        <v>185</v>
      </c>
      <c r="C59" s="153" t="s">
        <v>186</v>
      </c>
      <c r="D59" s="156">
        <v>1.5</v>
      </c>
      <c r="E59" s="153" t="s">
        <v>182</v>
      </c>
      <c r="F59" s="153" t="s">
        <v>187</v>
      </c>
    </row>
    <row r="62" spans="2:16" ht="18">
      <c r="B62" s="150" t="s">
        <v>201</v>
      </c>
      <c r="H62" s="187" t="s">
        <v>252</v>
      </c>
    </row>
    <row r="63" spans="2:16">
      <c r="B63" t="s">
        <v>202</v>
      </c>
      <c r="E63" t="str">
        <f>$C$4</f>
        <v>HDL 높은값 우선 (상위 2개 채택)</v>
      </c>
      <c r="H63" s="187" t="s">
        <v>253</v>
      </c>
      <c r="L63" s="188" t="str" cm="1">
        <f t="array" ref="L63">SUMPRODUCT(--($T$72:$T$83&lt;&gt;"R"&amp;$AY$72:$AY$83))&amp;" / 12"</f>
        <v>8 / 12</v>
      </c>
    </row>
    <row r="64" spans="2:16">
      <c r="B64" t="s">
        <v>203</v>
      </c>
      <c r="E64" t="str">
        <f>COUNTIF($AC$72:$AC$83,"일치")&amp;" / 12"</f>
        <v>4 / 12</v>
      </c>
      <c r="H64" s="187" t="s">
        <v>254</v>
      </c>
      <c r="L64" s="189" cm="1">
        <f t="array" ref="L64">MAX(SUMPRODUCT(MAX(ABS($N$35:$N$40))),SUMPRODUCT(MAX(ABS($AD$35:$AD$40))))</f>
        <v>0.86306256860595454</v>
      </c>
    </row>
    <row r="65" spans="2:51">
      <c r="B65" t="s">
        <v>206</v>
      </c>
      <c r="E65" t="str">
        <f>COUNTIF($AA$72:$AA$83,"확인")&amp;" / 12"</f>
        <v>0 / 12</v>
      </c>
      <c r="H65" s="187" t="s">
        <v>255</v>
      </c>
      <c r="L65" s="188" t="str">
        <f>COUNTIF($P$15:$P$40,"&lt;-0.0005")+COUNTIF($AF$15:$AF$40,"&lt;-0.0005")&amp;" / 36"</f>
        <v>3 / 36</v>
      </c>
    </row>
    <row r="66" spans="2:51">
      <c r="B66" t="s">
        <v>204</v>
      </c>
      <c r="E66" t="str">
        <f>COUNTIF($O$45:$O$50,"확인")&amp;" / 6"</f>
        <v>1 / 6</v>
      </c>
      <c r="H66" s="187" t="s">
        <v>256</v>
      </c>
      <c r="L66" s="188" t="str">
        <f>COUNTIF($P$15:$P$40,"&gt;0.0005")+COUNTIF($AF$15:$AF$40,"&gt;0.0005")&amp;" / 36"</f>
        <v>18 / 36</v>
      </c>
    </row>
    <row r="67" spans="2:51">
      <c r="B67" t="s">
        <v>205</v>
      </c>
      <c r="E67" s="157" cm="1">
        <f t="array" ref="E67">SUMPRODUCT(MAX(ABS($P$45:$P$50)))</f>
        <v>2.8421709430404007E-14</v>
      </c>
      <c r="H67" s="187" t="s">
        <v>257</v>
      </c>
      <c r="L67" s="190" t="s">
        <v>258</v>
      </c>
    </row>
    <row r="68" spans="2:51">
      <c r="B68" s="149" t="s">
        <v>216</v>
      </c>
    </row>
    <row r="70" spans="2:51" ht="18">
      <c r="B70" s="150" t="s">
        <v>209</v>
      </c>
    </row>
    <row r="71" spans="2:51" ht="28" customHeight="1">
      <c r="B71" s="152" t="s">
        <v>152</v>
      </c>
      <c r="C71" s="152" t="s">
        <v>153</v>
      </c>
      <c r="D71" s="152" t="s">
        <v>154</v>
      </c>
      <c r="E71" s="152" t="s">
        <v>155</v>
      </c>
      <c r="F71" s="152" t="s">
        <v>156</v>
      </c>
      <c r="G71" s="152" t="s">
        <v>157</v>
      </c>
      <c r="H71" s="152" t="s">
        <v>158</v>
      </c>
      <c r="I71" s="152" t="s">
        <v>159</v>
      </c>
      <c r="J71" s="152" t="s">
        <v>160</v>
      </c>
      <c r="K71" s="152" t="s">
        <v>161</v>
      </c>
      <c r="L71" s="152" t="s">
        <v>162</v>
      </c>
      <c r="M71" s="152" t="s">
        <v>163</v>
      </c>
      <c r="N71" s="152" t="s">
        <v>164</v>
      </c>
      <c r="O71" s="152" t="s">
        <v>234</v>
      </c>
      <c r="P71" s="152" t="s">
        <v>235</v>
      </c>
      <c r="Q71" s="152" t="s">
        <v>236</v>
      </c>
      <c r="R71" s="152" t="s">
        <v>165</v>
      </c>
      <c r="S71" s="152" t="s">
        <v>166</v>
      </c>
      <c r="T71" s="152" t="s">
        <v>167</v>
      </c>
      <c r="U71" s="152" t="s">
        <v>168</v>
      </c>
      <c r="V71" s="152" t="s">
        <v>169</v>
      </c>
      <c r="W71" s="152" t="s">
        <v>170</v>
      </c>
      <c r="X71" s="152" t="s">
        <v>171</v>
      </c>
      <c r="Y71" s="152" t="s">
        <v>172</v>
      </c>
      <c r="Z71" s="152" t="s">
        <v>173</v>
      </c>
      <c r="AA71" s="152" t="s">
        <v>174</v>
      </c>
      <c r="AB71" s="152" t="s">
        <v>175</v>
      </c>
      <c r="AC71" s="151" t="s">
        <v>176</v>
      </c>
      <c r="AS71" s="152" t="s">
        <v>249</v>
      </c>
      <c r="AT71" s="152" t="s">
        <v>250</v>
      </c>
      <c r="AU71" s="152" t="s">
        <v>251</v>
      </c>
      <c r="AV71" s="152" t="s">
        <v>237</v>
      </c>
      <c r="AW71" s="152" t="s">
        <v>238</v>
      </c>
      <c r="AX71" s="152" t="s">
        <v>239</v>
      </c>
      <c r="AY71" s="152" t="s">
        <v>240</v>
      </c>
    </row>
    <row r="72" spans="2:51">
      <c r="B72" s="158" t="s">
        <v>37</v>
      </c>
      <c r="C72" s="158" t="s">
        <v>177</v>
      </c>
      <c r="D72" s="158">
        <v>1</v>
      </c>
      <c r="E72" s="158">
        <v>9</v>
      </c>
      <c r="F72" s="160" cm="1">
        <f t="array" ref="F72">IF($C72="Day1",INDEX('2026-07_결과정리'!$E:$G,$E72,1),INDEX('2026-07_결과정리'!$Q:$S,$E72,1))</f>
        <v>159.6796917996698</v>
      </c>
      <c r="G72" s="160" cm="1">
        <f t="array" ref="G72">IF($C72="Day1",INDEX('2026-07_결과정리'!$E:$G,$E72,2),INDEX('2026-07_결과정리'!$Q:$S,$E72,2))</f>
        <v>160.17501375894329</v>
      </c>
      <c r="H72" s="160" cm="1">
        <f t="array" ref="H72">IF($C72="Day1",INDEX('2026-07_결과정리'!$E:$G,$E72,3),INDEX('2026-07_결과정리'!$Q:$S,$E72,3))</f>
        <v>159.40451293340669</v>
      </c>
      <c r="I72" s="160" cm="1">
        <f t="array" ref="I72">IF($C72="Day1",INDEX('2026-07_결과정리'!$E:$G,$E72+8,1),INDEX('2026-07_결과정리'!$Q:$S,$E72+8,1))</f>
        <v>46.094342322509632</v>
      </c>
      <c r="J72" s="160" cm="1">
        <f t="array" ref="J72">IF($C72="Day1",INDEX('2026-07_결과정리'!$E:$G,$E72+8,2),INDEX('2026-07_결과정리'!$Q:$S,$E72+8,2))</f>
        <v>46.214320308200328</v>
      </c>
      <c r="K72" s="160" cm="1">
        <f t="array" ref="K72">IF($C72="Day1",INDEX('2026-07_결과정리'!$E:$G,$E72+8,3),INDEX('2026-07_결과정리'!$Q:$S,$E72+8,3))</f>
        <v>46.334298293891031</v>
      </c>
      <c r="L72" s="160" cm="1">
        <f t="array" ref="L72">IF($C72="Day1",INDEX('2026-07_결과정리'!$E:$G,$E72+16,1),INDEX('2026-07_결과정리'!$Q:$S,$E72+16,1))</f>
        <v>113.58534947716019</v>
      </c>
      <c r="M72" s="160" cm="1">
        <f t="array" ref="M72">IF($C72="Day1",INDEX('2026-07_결과정리'!$E:$G,$E72+16,2),INDEX('2026-07_결과정리'!$Q:$S,$E72+16,2))</f>
        <v>113.96069345074299</v>
      </c>
      <c r="N72" s="160" cm="1">
        <f t="array" ref="N72">IF($C72="Day1",INDEX('2026-07_결과정리'!$E:$G,$E72+16,3),INDEX('2026-07_결과정리'!$Q:$S,$E72+16,3))</f>
        <v>113.0702146395157</v>
      </c>
      <c r="O72" s="155">
        <f>$C$6*ABS(F72-MEDIAN($F72:$H72))/MEDIAN($F72:$H72)*100+$D$6*ABS(I72-MEDIAN($I72:$K72))/MEDIAN($I72:$K72)*100+$E$6*ABS(L72-MEDIAN($L72:$N72))/MEDIAN($L72:$N72)*100</f>
        <v>0</v>
      </c>
      <c r="P72" s="155">
        <f t="shared" ref="P72:Q72" si="6">$C$6*ABS(G72-MEDIAN($F72:$H72))/MEDIAN($F72:$H72)*100+$D$6*ABS(J72-MEDIAN($I72:$K72))/MEDIAN($I72:$K72)*100+$E$6*ABS(M72-MEDIAN($L72:$N72))/MEDIAN($L72:$N72)*100</f>
        <v>0</v>
      </c>
      <c r="Q72" s="155">
        <f t="shared" si="6"/>
        <v>0</v>
      </c>
      <c r="R72" s="158" t="str">
        <f>IF($C$8="ALL","없음",IF($C$8="MAN","-",IF($C$8="PAIR","R"&amp;MATCH(MIN($AS72:$AU72),$AS72:$AU72,0),IF($C$8="DIR_BF_HI","R"&amp;MATCH(MIN($F72:$H72),$F72:$H72,0),IF($C$8="DIR_BF_LO","R"&amp;MATCH(MAX($F72:$H72),$F72:$H72,0),IF($C$8="DIR_HDL_HI","R"&amp;MATCH(MIN($I72:$K72),$I72:$K72,0),IF($C$8="DIR_HDL_LO","R"&amp;MATCH(MAX($I72:$K72),$I72:$K72,0),"R"&amp;MATCH(MAX($O72:$Q72),$O72:$Q72,0))))))))</f>
        <v>R1</v>
      </c>
      <c r="S72" s="159"/>
      <c r="T72" s="158" t="str">
        <f>IF($C$8="MAN",IF($S72="","입력 필요",$S72),$R72)</f>
        <v>R1</v>
      </c>
      <c r="U72" s="158">
        <f>IFERROR(VALUE(MID($T72,2,1)),0)</f>
        <v>1</v>
      </c>
      <c r="V72" s="158" t="str">
        <f>IF($T72="입력 필요","-",IF($U72=0,"R1·R2·R3",CHOOSE($U72,"R2·R3","R1·R3","R1·R2")))</f>
        <v>R2·R3</v>
      </c>
      <c r="W72" s="161" cm="1">
        <f t="array" ref="W72">IF($T72="입력 필요","-",IF($U72=0,AVERAGE(F72:H72),(SUM(F72:H72)-INDEX(F72:H72,$U72))/2))</f>
        <v>159.78976334617499</v>
      </c>
      <c r="X72" s="161" cm="1">
        <f t="array" ref="X72">IF($T72="입력 필요","-",IF($U72=0,AVERAGE(I72:K72),(SUM(I72:K72)-INDEX(I72:K72,$U72))/2))</f>
        <v>46.274309301045683</v>
      </c>
      <c r="Y72" s="161" cm="1">
        <f t="array" ref="Y72">IF($T72="입력 필요","-",IF($U72=0,AVERAGE(L72:N72),(SUM(L72:N72)-INDEX(L72:N72,$U72))/2))</f>
        <v>113.51545404512933</v>
      </c>
      <c r="Z72" s="155">
        <f>IFERROR(IF($U72=0,STDEV(L72:N72)/AVERAGE(L72:N72)*100,ABS(CHOOSE($U72,M72-N72,L72-N72,L72-M72))/SQRT(2)/$Y72*100),"-")</f>
        <v>0.55469417025053458</v>
      </c>
      <c r="AA72" s="158" t="str">
        <f>IFERROR(IF($Z72&lt;=$D$59,"적합","확인"),"-")</f>
        <v>적합</v>
      </c>
      <c r="AB72" s="158" t="s">
        <v>25</v>
      </c>
      <c r="AC72" s="178" t="str">
        <f>IF($T72=$AB72,"일치","차이")</f>
        <v>차이</v>
      </c>
      <c r="AS72" s="155">
        <f>ABS(CHOOSE(COLUMN()-44,$G72-$H72,$F72-$H72,$F72-$G72))/MEDIAN($F72:$H72)*100+ABS(CHOOSE(COLUMN()-44,$J72-$K72,$I72-$K72,$I72-$J72))/MEDIAN($I72:$K72)*100+ABS(CHOOSE(COLUMN()-44,$M72-$N72,$L72-$N72,$L72-$M72))/MEDIAN($L72:$N72)*100</f>
        <v>1.5261144416837569</v>
      </c>
      <c r="AT72" s="155">
        <f>ABS(CHOOSE(COLUMN()-44,$G72-$H72,$F72-$H72,$F72-$G72))/MEDIAN($F72:$H72)*100+ABS(CHOOSE(COLUMN()-44,$J72-$K72,$I72-$K72,$I72-$J72))/MEDIAN($I72:$K72)*100+ABS(CHOOSE(COLUMN()-44,$M72-$N72,$L72-$N72,$L72-$M72))/MEDIAN($L72:$N72)*100</f>
        <v>1.145078320294334</v>
      </c>
      <c r="AU72" s="155">
        <f>ABS(CHOOSE(COLUMN()-44,$G72-$H72,$F72-$H72,$F72-$G72))/MEDIAN($F72:$H72)*100+ABS(CHOOSE(COLUMN()-44,$J72-$K72,$I72-$K72,$I72-$J72))/MEDIAN($I72:$K72)*100+ABS(CHOOSE(COLUMN()-44,$M72-$N72,$L72-$N72,$L72-$M72))/MEDIAN($L72:$N72)*100</f>
        <v>0.90026040031669141</v>
      </c>
      <c r="AV72" s="155">
        <f>ABS(F72-MEDIAN($F72:$H72))/MEDIAN($F72:$H72)*100+ABS(I72-MEDIAN($I72:$K72))/MEDIAN($I72:$K72)*100</f>
        <v>0.25961213946363432</v>
      </c>
      <c r="AW72" s="155">
        <f>ABS(G72-MEDIAN($F72:$H72))/MEDIAN($F72:$H72)*100+ABS(J72-MEDIAN($I72:$K72))/MEDIAN($I72:$K72)*100</f>
        <v>0.31019721649695786</v>
      </c>
      <c r="AX72" s="155">
        <f>ABS(H72-MEDIAN($F72:$H72))/MEDIAN($F72:$H72)*100+ABS(K72-MEDIAN($I72:$K72))/MEDIAN($I72:$K72)*100</f>
        <v>0.43194392640643575</v>
      </c>
      <c r="AY72" s="182">
        <f>MATCH(MAX($AV72:$AX72),$AV72:$AX72,0)</f>
        <v>3</v>
      </c>
    </row>
    <row r="73" spans="2:51">
      <c r="B73" s="158" t="s">
        <v>37</v>
      </c>
      <c r="C73" s="158" t="s">
        <v>178</v>
      </c>
      <c r="D73" s="158">
        <v>1</v>
      </c>
      <c r="E73" s="158">
        <v>9</v>
      </c>
      <c r="F73" s="160" cm="1">
        <f t="array" ref="F73">IF($C73="Day1",INDEX('2026-07_결과정리'!$E:$G,$E73,1),INDEX('2026-07_결과정리'!$Q:$S,$E73,1))</f>
        <v>160.4034028540066</v>
      </c>
      <c r="G73" s="160" cm="1">
        <f t="array" ref="G73">IF($C73="Day1",INDEX('2026-07_결과정리'!$E:$G,$E73,2),INDEX('2026-07_결과정리'!$Q:$S,$E73,2))</f>
        <v>160.7327113062569</v>
      </c>
      <c r="H73" s="160" cm="1">
        <f t="array" ref="H73">IF($C73="Day1",INDEX('2026-07_결과정리'!$E:$G,$E73,3),INDEX('2026-07_결과정리'!$Q:$S,$E73,3))</f>
        <v>160.56805708013169</v>
      </c>
      <c r="I73" s="160" cm="1">
        <f t="array" ref="I73">IF($C73="Day1",INDEX('2026-07_결과정리'!$E:$G,$E73+8,1),INDEX('2026-07_결과정리'!$Q:$S,$E73+8,1))</f>
        <v>47.174506037321628</v>
      </c>
      <c r="J73" s="160" cm="1">
        <f t="array" ref="J73">IF($C73="Day1",INDEX('2026-07_결과정리'!$E:$G,$E73+8,2),INDEX('2026-07_결과정리'!$Q:$S,$E73+8,2))</f>
        <v>46.097667398463237</v>
      </c>
      <c r="K73" s="160" cm="1">
        <f t="array" ref="K73">IF($C73="Day1",INDEX('2026-07_결과정리'!$E:$G,$E73+8,3),INDEX('2026-07_결과정리'!$Q:$S,$E73+8,3))</f>
        <v>46.935208562019767</v>
      </c>
      <c r="L73" s="160" cm="1">
        <f t="array" ref="L73">IF($C73="Day1",INDEX('2026-07_결과정리'!$E:$G,$E73+16,1),INDEX('2026-07_결과정리'!$Q:$S,$E73+16,1))</f>
        <v>113.22889681668489</v>
      </c>
      <c r="M73" s="160" cm="1">
        <f t="array" ref="M73">IF($C73="Day1",INDEX('2026-07_결과정리'!$E:$G,$E73+16,2),INDEX('2026-07_결과정리'!$Q:$S,$E73+16,2))</f>
        <v>114.6350439077936</v>
      </c>
      <c r="N73" s="160" cm="1">
        <f t="array" ref="N73">IF($C73="Day1",INDEX('2026-07_결과정리'!$E:$G,$E73+16,3),INDEX('2026-07_결과정리'!$Q:$S,$E73+16,3))</f>
        <v>113.632848518112</v>
      </c>
      <c r="O73" s="155">
        <f t="shared" ref="O73:O83" si="7">$C$6*ABS(F73-MEDIAN($F73:$H73))/MEDIAN($F73:$H73)*100+$D$6*ABS(I73-MEDIAN($I73:$K73))/MEDIAN($I73:$K73)*100+$E$6*ABS(L73-MEDIAN($L73:$N73))/MEDIAN($L73:$N73)*100</f>
        <v>0</v>
      </c>
      <c r="P73" s="155">
        <f t="shared" ref="P73:P83" si="8">$C$6*ABS(G73-MEDIAN($F73:$H73))/MEDIAN($F73:$H73)*100+$D$6*ABS(J73-MEDIAN($I73:$K73))/MEDIAN($I73:$K73)*100+$E$6*ABS(M73-MEDIAN($L73:$N73))/MEDIAN($L73:$N73)*100</f>
        <v>0</v>
      </c>
      <c r="Q73" s="155">
        <f t="shared" ref="Q73:Q83" si="9">$C$6*ABS(H73-MEDIAN($F73:$H73))/MEDIAN($F73:$H73)*100+$D$6*ABS(K73-MEDIAN($I73:$K73))/MEDIAN($I73:$K73)*100+$E$6*ABS(N73-MEDIAN($L73:$N73))/MEDIAN($L73:$N73)*100</f>
        <v>0</v>
      </c>
      <c r="R73" s="158" t="str">
        <f>IF($C$8="ALL","없음",IF($C$8="MAN","-",IF($C$8="PAIR","R"&amp;MATCH(MIN($AS73:$AU73),$AS73:$AU73,0),IF($C$8="DIR_BF_HI","R"&amp;MATCH(MIN($F73:$H73),$F73:$H73,0),IF($C$8="DIR_BF_LO","R"&amp;MATCH(MAX($F73:$H73),$F73:$H73,0),IF($C$8="DIR_HDL_HI","R"&amp;MATCH(MIN($I73:$K73),$I73:$K73,0),IF($C$8="DIR_HDL_LO","R"&amp;MATCH(MAX($I73:$K73),$I73:$K73,0),"R"&amp;MATCH(MAX($O73:$Q73),$O73:$Q73,0))))))))</f>
        <v>R2</v>
      </c>
      <c r="S73" s="159"/>
      <c r="T73" s="158" t="str">
        <f t="shared" ref="T73:T83" si="10">IF($C$8="MAN",IF($S73="","입력 필요",$S73),$R73)</f>
        <v>R2</v>
      </c>
      <c r="U73" s="158">
        <f t="shared" ref="U73:U83" si="11">IFERROR(VALUE(MID($T73,2,1)),0)</f>
        <v>2</v>
      </c>
      <c r="V73" s="158" t="str">
        <f t="shared" ref="V73:V83" si="12">IF($T73="입력 필요","-",IF($U73=0,"R1·R2·R3",CHOOSE($U73,"R2·R3","R1·R3","R1·R2")))</f>
        <v>R1·R3</v>
      </c>
      <c r="W73" s="161" cm="1">
        <f t="array" ref="W73">IF($T73="입력 필요","-",IF($U73=0,AVERAGE(F73:H73),(SUM(F73:H73)-INDEX(F73:H73,$U73))/2))</f>
        <v>160.48572996706918</v>
      </c>
      <c r="X73" s="161" cm="1">
        <f t="array" ref="X73">IF($T73="입력 필요","-",IF($U73=0,AVERAGE(I73:K73),(SUM(I73:K73)-INDEX(I73:K73,$U73))/2))</f>
        <v>47.054857299670701</v>
      </c>
      <c r="Y73" s="161" cm="1">
        <f t="array" ref="Y73">IF($T73="입력 필요","-",IF($U73=0,AVERAGE(L73:N73),(SUM(L73:N73)-INDEX(L73:N73,$U73))/2))</f>
        <v>113.43087266739843</v>
      </c>
      <c r="Z73" s="155">
        <f t="shared" ref="Z73:Z83" si="13">IFERROR(IF($U73=0,STDEV(L73:N73)/AVERAGE(L73:N73)*100,ABS(CHOOSE($U73,M73-N73,L73-N73,L73-M73))/SQRT(2)/$Y73*100),"-")</f>
        <v>0.25181591275286452</v>
      </c>
      <c r="AA73" s="158" t="str">
        <f t="shared" ref="AA73:AA83" si="14">IFERROR(IF($Z73&lt;=$D$59,"적합","확인"),"-")</f>
        <v>적합</v>
      </c>
      <c r="AB73" s="158" t="s">
        <v>24</v>
      </c>
      <c r="AC73" s="178" t="str">
        <f t="shared" ref="AC73:AC83" si="15">IF($T73=$AB73,"일치","차이")</f>
        <v>일치</v>
      </c>
      <c r="AS73" s="155">
        <f>ABS(CHOOSE(COLUMN()-44,$G73-$H73,$F73-$H73,$F73-$G73))/MEDIAN($F73:$H73)*100+ABS(CHOOSE(COLUMN()-44,$J73-$K73,$I73-$K73,$I73-$J73))/MEDIAN($I73:$K73)*100+ABS(CHOOSE(COLUMN()-44,$M73-$N73,$L73-$N73,$L73-$M73))/MEDIAN($L73:$N73)*100</f>
        <v>2.7689664759251382</v>
      </c>
      <c r="AT73" s="155">
        <f>ABS(CHOOSE(COLUMN()-44,$G73-$H73,$F73-$H73,$F73-$G73))/MEDIAN($F73:$H73)*100+ABS(CHOOSE(COLUMN()-44,$J73-$K73,$I73-$K73,$I73-$J73))/MEDIAN($I73:$K73)*100+ABS(CHOOSE(COLUMN()-44,$M73-$N73,$L73-$N73,$L73-$M73))/MEDIAN($L73:$N73)*100</f>
        <v>0.96787972299719971</v>
      </c>
      <c r="AU73" s="155">
        <f>ABS(CHOOSE(COLUMN()-44,$G73-$H73,$F73-$H73,$F73-$G73))/MEDIAN($F73:$H73)*100+ABS(CHOOSE(COLUMN()-44,$J73-$K73,$I73-$K73,$I73-$J73))/MEDIAN($I73:$K73)*100+ABS(CHOOSE(COLUMN()-44,$M73-$N73,$L73-$N73,$L73-$M73))/MEDIAN($L73:$N73)*100</f>
        <v>3.7368461989223376</v>
      </c>
      <c r="AV73" s="155">
        <f>ABS(F73-MEDIAN($F73:$H73))/MEDIAN($F73:$H73)*100+ABS(I73-MEDIAN($I73:$K73))/MEDIAN($I73:$K73)*100</f>
        <v>0.61239122940133772</v>
      </c>
      <c r="AW73" s="155">
        <f>ABS(G73-MEDIAN($F73:$H73))/MEDIAN($F73:$H73)*100+ABS(J73-MEDIAN($I73:$K73))/MEDIAN($I73:$K73)*100</f>
        <v>1.8870072513248128</v>
      </c>
      <c r="AX73" s="155">
        <f>ABS(H73-MEDIAN($F73:$H73))/MEDIAN($F73:$H73)*100+ABS(K73-MEDIAN($I73:$K73))/MEDIAN($I73:$K73)*100</f>
        <v>0</v>
      </c>
      <c r="AY73" s="182">
        <f>MATCH(MAX($AV73:$AX73),$AV73:$AX73,0)</f>
        <v>2</v>
      </c>
    </row>
    <row r="74" spans="2:51">
      <c r="B74" s="158" t="s">
        <v>39</v>
      </c>
      <c r="C74" s="158" t="s">
        <v>177</v>
      </c>
      <c r="D74" s="158">
        <v>2</v>
      </c>
      <c r="E74" s="158">
        <v>10</v>
      </c>
      <c r="F74" s="160" cm="1">
        <f t="array" ref="F74">IF($C74="Day1",INDEX('2026-07_결과정리'!$E:$G,$E74,1),INDEX('2026-07_결과정리'!$Q:$S,$E74,1))</f>
        <v>159.78976334617499</v>
      </c>
      <c r="G74" s="160" cm="1">
        <f t="array" ref="G74">IF($C74="Day1",INDEX('2026-07_결과정리'!$E:$G,$E74,2),INDEX('2026-07_결과정리'!$Q:$S,$E74,2))</f>
        <v>160.3401210787012</v>
      </c>
      <c r="H74" s="160" cm="1">
        <f t="array" ref="H74">IF($C74="Day1",INDEX('2026-07_결과정리'!$E:$G,$E74,3),INDEX('2026-07_결과정리'!$Q:$S,$E74,3))</f>
        <v>160.0099064391855</v>
      </c>
      <c r="I74" s="160" cm="1">
        <f t="array" ref="I74">IF($C74="Day1",INDEX('2026-07_결과정리'!$E:$G,$E74+8,1),INDEX('2026-07_결과정리'!$Q:$S,$E74+8,1))</f>
        <v>45.614430379746842</v>
      </c>
      <c r="J74" s="160" cm="1">
        <f t="array" ref="J74">IF($C74="Day1",INDEX('2026-07_결과정리'!$E:$G,$E74+8,2),INDEX('2026-07_결과정리'!$Q:$S,$E74+8,2))</f>
        <v>45.854386351128227</v>
      </c>
      <c r="K74" s="160" cm="1">
        <f t="array" ref="K74">IF($C74="Day1",INDEX('2026-07_결과정리'!$E:$G,$E74+8,3),INDEX('2026-07_결과정리'!$Q:$S,$E74+8,3))</f>
        <v>45.914375343973582</v>
      </c>
      <c r="L74" s="160" cm="1">
        <f t="array" ref="L74">IF($C74="Day1",INDEX('2026-07_결과정리'!$E:$G,$E74+16,1),INDEX('2026-07_결과정리'!$Q:$S,$E74+16,1))</f>
        <v>114.1753329664282</v>
      </c>
      <c r="M74" s="160" cm="1">
        <f t="array" ref="M74">IF($C74="Day1",INDEX('2026-07_결과정리'!$E:$G,$E74+16,2),INDEX('2026-07_결과정리'!$Q:$S,$E74+16,2))</f>
        <v>114.4857347275729</v>
      </c>
      <c r="N74" s="160" cm="1">
        <f t="array" ref="N74">IF($C74="Day1",INDEX('2026-07_결과정리'!$E:$G,$E74+16,3),INDEX('2026-07_결과정리'!$Q:$S,$E74+16,3))</f>
        <v>114.0955310952119</v>
      </c>
      <c r="O74" s="155">
        <f t="shared" si="7"/>
        <v>0</v>
      </c>
      <c r="P74" s="155">
        <f t="shared" si="8"/>
        <v>0</v>
      </c>
      <c r="Q74" s="155">
        <f t="shared" si="9"/>
        <v>0</v>
      </c>
      <c r="R74" s="158" t="str">
        <f>IF($C$8="ALL","없음",IF($C$8="MAN","-",IF($C$8="PAIR","R"&amp;MATCH(MIN($AS74:$AU74),$AS74:$AU74,0),IF($C$8="DIR_BF_HI","R"&amp;MATCH(MIN($F74:$H74),$F74:$H74,0),IF($C$8="DIR_BF_LO","R"&amp;MATCH(MAX($F74:$H74),$F74:$H74,0),IF($C$8="DIR_HDL_HI","R"&amp;MATCH(MIN($I74:$K74),$I74:$K74,0),IF($C$8="DIR_HDL_LO","R"&amp;MATCH(MAX($I74:$K74),$I74:$K74,0),"R"&amp;MATCH(MAX($O74:$Q74),$O74:$Q74,0))))))))</f>
        <v>R1</v>
      </c>
      <c r="S74" s="159"/>
      <c r="T74" s="158" t="str">
        <f t="shared" si="10"/>
        <v>R1</v>
      </c>
      <c r="U74" s="158">
        <f t="shared" si="11"/>
        <v>1</v>
      </c>
      <c r="V74" s="158" t="str">
        <f t="shared" si="12"/>
        <v>R2·R3</v>
      </c>
      <c r="W74" s="161" cm="1">
        <f t="array" ref="W74">IF($T74="입력 필요","-",IF($U74=0,AVERAGE(F74:H74),(SUM(F74:H74)-INDEX(F74:H74,$U74))/2))</f>
        <v>160.17501375894335</v>
      </c>
      <c r="X74" s="161" cm="1">
        <f t="array" ref="X74">IF($T74="입력 필요","-",IF($U74=0,AVERAGE(I74:K74),(SUM(I74:K74)-INDEX(I74:K74,$U74))/2))</f>
        <v>45.884380847550901</v>
      </c>
      <c r="Y74" s="161" cm="1">
        <f t="array" ref="Y74">IF($T74="입력 필요","-",IF($U74=0,AVERAGE(L74:N74),(SUM(L74:N74)-INDEX(L74:N74,$U74))/2))</f>
        <v>114.29063291139241</v>
      </c>
      <c r="Z74" s="155">
        <f t="shared" si="13"/>
        <v>0.24141579012866587</v>
      </c>
      <c r="AA74" s="158" t="str">
        <f t="shared" si="14"/>
        <v>적합</v>
      </c>
      <c r="AB74" s="158" t="s">
        <v>23</v>
      </c>
      <c r="AC74" s="178" t="str">
        <f t="shared" si="15"/>
        <v>일치</v>
      </c>
      <c r="AS74" s="155">
        <f>ABS(CHOOSE(COLUMN()-44,$G74-$H74,$F74-$H74,$F74-$G74))/MEDIAN($F74:$H74)*100+ABS(CHOOSE(COLUMN()-44,$J74-$K74,$I74-$K74,$I74-$J74))/MEDIAN($I74:$K74)*100+ABS(CHOOSE(COLUMN()-44,$M74-$N74,$L74-$N74,$L74-$M74))/MEDIAN($L74:$N74)*100</f>
        <v>0.67895461543532432</v>
      </c>
      <c r="AT74" s="155">
        <f>ABS(CHOOSE(COLUMN()-44,$G74-$H74,$F74-$H74,$F74-$G74))/MEDIAN($F74:$H74)*100+ABS(CHOOSE(COLUMN()-44,$J74-$K74,$I74-$K74,$I74-$J74))/MEDIAN($I74:$K74)*100+ABS(CHOOSE(COLUMN()-44,$M74-$N74,$L74-$N74,$L74-$M74))/MEDIAN($L74:$N74)*100</f>
        <v>0.86159997010103329</v>
      </c>
      <c r="AU74" s="155">
        <f>ABS(CHOOSE(COLUMN()-44,$G74-$H74,$F74-$H74,$F74-$G74))/MEDIAN($F74:$H74)*100+ABS(CHOOSE(COLUMN()-44,$J74-$K74,$I74-$K74,$I74-$J74))/MEDIAN($I74:$K74)*100+ABS(CHOOSE(COLUMN()-44,$M74-$N74,$L74-$N74,$L74-$M74))/MEDIAN($L74:$N74)*100</f>
        <v>1.1391163335943175</v>
      </c>
      <c r="AV74" s="155">
        <f>ABS(F74-MEDIAN($F74:$H74))/MEDIAN($F74:$H74)*100+ABS(I74-MEDIAN($I74:$K74))/MEDIAN($I74:$K74)*100</f>
        <v>0.66088084413001325</v>
      </c>
      <c r="AW74" s="155">
        <f>ABS(G74-MEDIAN($F74:$H74))/MEDIAN($F74:$H74)*100+ABS(J74-MEDIAN($I74:$K74))/MEDIAN($I74:$K74)*100</f>
        <v>0.20637137216326421</v>
      </c>
      <c r="AX74" s="155">
        <f>ABS(H74-MEDIAN($F74:$H74))/MEDIAN($F74:$H74)*100+ABS(K74-MEDIAN($I74:$K74))/MEDIAN($I74:$K74)*100</f>
        <v>0.13082498233863937</v>
      </c>
      <c r="AY74" s="182">
        <f>MATCH(MAX($AV74:$AX74),$AV74:$AX74,0)</f>
        <v>1</v>
      </c>
    </row>
    <row r="75" spans="2:51">
      <c r="B75" s="158" t="s">
        <v>39</v>
      </c>
      <c r="C75" s="158" t="s">
        <v>178</v>
      </c>
      <c r="D75" s="158">
        <v>2</v>
      </c>
      <c r="E75" s="158">
        <v>10</v>
      </c>
      <c r="F75" s="160" cm="1">
        <f t="array" ref="F75">IF($C75="Day1",INDEX('2026-07_결과정리'!$E:$G,$E75,1),INDEX('2026-07_결과정리'!$Q:$S,$E75,1))</f>
        <v>161.17178924259059</v>
      </c>
      <c r="G75" s="160" cm="1">
        <f t="array" ref="G75">IF($C75="Day1",INDEX('2026-07_결과정리'!$E:$G,$E75,2),INDEX('2026-07_결과정리'!$Q:$S,$E75,2))</f>
        <v>160.78759604829861</v>
      </c>
      <c r="H75" s="160" cm="1">
        <f t="array" ref="H75">IF($C75="Day1",INDEX('2026-07_결과정리'!$E:$G,$E75,3),INDEX('2026-07_결과정리'!$Q:$S,$E75,3))</f>
        <v>159.744785949506</v>
      </c>
      <c r="I75" s="160" cm="1">
        <f t="array" ref="I75">IF($C75="Day1",INDEX('2026-07_결과정리'!$E:$G,$E75+8,1),INDEX('2026-07_결과정리'!$Q:$S,$E75+8,1))</f>
        <v>46.396789242590572</v>
      </c>
      <c r="J75" s="160" cm="1">
        <f t="array" ref="J75">IF($C75="Day1",INDEX('2026-07_결과정리'!$E:$G,$E75+8,2),INDEX('2026-07_결과정리'!$Q:$S,$E75+8,2))</f>
        <v>46.636086717892432</v>
      </c>
      <c r="K75" s="160" cm="1">
        <f t="array" ref="K75">IF($C75="Day1",INDEX('2026-07_결과정리'!$E:$G,$E75+8,3),INDEX('2026-07_결과정리'!$Q:$S,$E75+8,3))</f>
        <v>46.695911086717892</v>
      </c>
      <c r="L75" s="160" cm="1">
        <f t="array" ref="L75">IF($C75="Day1",INDEX('2026-07_결과정리'!$E:$G,$E75+16,1),INDEX('2026-07_결과정리'!$Q:$S,$E75+16,1))</f>
        <v>114.77500000000001</v>
      </c>
      <c r="M75" s="160" cm="1">
        <f t="array" ref="M75">IF($C75="Day1",INDEX('2026-07_결과정리'!$E:$G,$E75+16,2),INDEX('2026-07_결과정리'!$Q:$S,$E75+16,2))</f>
        <v>114.1515093304062</v>
      </c>
      <c r="N75" s="160" cm="1">
        <f t="array" ref="N75">IF($C75="Day1",INDEX('2026-07_결과정리'!$E:$G,$E75+16,3),INDEX('2026-07_결과정리'!$Q:$S,$E75+16,3))</f>
        <v>113.0488748627881</v>
      </c>
      <c r="O75" s="155">
        <f t="shared" si="7"/>
        <v>0</v>
      </c>
      <c r="P75" s="155">
        <f t="shared" si="8"/>
        <v>0</v>
      </c>
      <c r="Q75" s="155">
        <f t="shared" si="9"/>
        <v>0</v>
      </c>
      <c r="R75" s="158" t="str">
        <f>IF($C$8="ALL","없음",IF($C$8="MAN","-",IF($C$8="PAIR","R"&amp;MATCH(MIN($AS75:$AU75),$AS75:$AU75,0),IF($C$8="DIR_BF_HI","R"&amp;MATCH(MIN($F75:$H75),$F75:$H75,0),IF($C$8="DIR_BF_LO","R"&amp;MATCH(MAX($F75:$H75),$F75:$H75,0),IF($C$8="DIR_HDL_HI","R"&amp;MATCH(MIN($I75:$K75),$I75:$K75,0),IF($C$8="DIR_HDL_LO","R"&amp;MATCH(MAX($I75:$K75),$I75:$K75,0),"R"&amp;MATCH(MAX($O75:$Q75),$O75:$Q75,0))))))))</f>
        <v>R1</v>
      </c>
      <c r="S75" s="159"/>
      <c r="T75" s="158" t="str">
        <f t="shared" si="10"/>
        <v>R1</v>
      </c>
      <c r="U75" s="158">
        <f t="shared" si="11"/>
        <v>1</v>
      </c>
      <c r="V75" s="158" t="str">
        <f t="shared" si="12"/>
        <v>R2·R3</v>
      </c>
      <c r="W75" s="161" cm="1">
        <f t="array" ref="W75">IF($T75="입력 필요","-",IF($U75=0,AVERAGE(F75:H75),(SUM(F75:H75)-INDEX(F75:H75,$U75))/2))</f>
        <v>160.26619099890232</v>
      </c>
      <c r="X75" s="161" cm="1">
        <f t="array" ref="X75">IF($T75="입력 필요","-",IF($U75=0,AVERAGE(I75:K75),(SUM(I75:K75)-INDEX(I75:K75,$U75))/2))</f>
        <v>46.665998902305169</v>
      </c>
      <c r="Y75" s="161" cm="1">
        <f t="array" ref="Y75">IF($T75="입력 필요","-",IF($U75=0,AVERAGE(L75:N75),(SUM(L75:N75)-INDEX(L75:N75,$U75))/2))</f>
        <v>113.60019209659713</v>
      </c>
      <c r="Z75" s="155">
        <f t="shared" si="13"/>
        <v>0.6863371397821203</v>
      </c>
      <c r="AA75" s="158" t="str">
        <f t="shared" si="14"/>
        <v>적합</v>
      </c>
      <c r="AB75" s="158" t="s">
        <v>25</v>
      </c>
      <c r="AC75" s="178" t="str">
        <f t="shared" si="15"/>
        <v>차이</v>
      </c>
      <c r="AS75" s="155">
        <f>ABS(CHOOSE(COLUMN()-44,$G75-$H75,$F75-$H75,$F75-$G75))/MEDIAN($F75:$H75)*100+ABS(CHOOSE(COLUMN()-44,$J75-$K75,$I75-$K75,$I75-$J75))/MEDIAN($I75:$K75)*100+ABS(CHOOSE(COLUMN()-44,$M75-$N75,$L75-$N75,$L75-$M75))/MEDIAN($L75:$N75)*100</f>
        <v>1.7427823634452446</v>
      </c>
      <c r="AT75" s="155">
        <f>ABS(CHOOSE(COLUMN()-44,$G75-$H75,$F75-$H75,$F75-$G75))/MEDIAN($F75:$H75)*100+ABS(CHOOSE(COLUMN()-44,$J75-$K75,$I75-$K75,$I75-$J75))/MEDIAN($I75:$K75)*100+ABS(CHOOSE(COLUMN()-44,$M75-$N75,$L75-$N75,$L75-$M75))/MEDIAN($L75:$N75)*100</f>
        <v>3.0410391827500844</v>
      </c>
      <c r="AU75" s="155">
        <f>ABS(CHOOSE(COLUMN()-44,$G75-$H75,$F75-$H75,$F75-$G75))/MEDIAN($F75:$H75)*100+ABS(CHOOSE(COLUMN()-44,$J75-$K75,$I75-$K75,$I75-$J75))/MEDIAN($I75:$K75)*100+ABS(CHOOSE(COLUMN()-44,$M75-$N75,$L75-$N75,$L75-$M75))/MEDIAN($L75:$N75)*100</f>
        <v>1.2982568193048398</v>
      </c>
      <c r="AV75" s="155">
        <f>ABS(F75-MEDIAN($F75:$H75))/MEDIAN($F75:$H75)*100+ABS(I75-MEDIAN($I75:$K75))/MEDIAN($I75:$K75)*100</f>
        <v>0.75206108939193783</v>
      </c>
      <c r="AW75" s="155">
        <f>ABS(G75-MEDIAN($F75:$H75))/MEDIAN($F75:$H75)*100+ABS(J75-MEDIAN($I75:$K75))/MEDIAN($I75:$K75)*100</f>
        <v>0</v>
      </c>
      <c r="AX75" s="155">
        <f>ABS(H75-MEDIAN($F75:$H75))/MEDIAN($F75:$H75)*100+ABS(K75-MEDIAN($I75:$K75))/MEDIAN($I75:$K75)*100</f>
        <v>0.77684290799172218</v>
      </c>
      <c r="AY75" s="182">
        <f>MATCH(MAX($AV75:$AX75),$AV75:$AX75,0)</f>
        <v>3</v>
      </c>
    </row>
    <row r="76" spans="2:51">
      <c r="B76" s="158" t="s">
        <v>41</v>
      </c>
      <c r="C76" s="158" t="s">
        <v>177</v>
      </c>
      <c r="D76" s="158">
        <v>3</v>
      </c>
      <c r="E76" s="158">
        <v>11</v>
      </c>
      <c r="F76" s="160" cm="1">
        <f t="array" ref="F76">IF($C76="Day1",INDEX('2026-07_결과정리'!$E:$G,$E76,1),INDEX('2026-07_결과정리'!$Q:$S,$E76,1))</f>
        <v>239.81177765547599</v>
      </c>
      <c r="G76" s="160" cm="1">
        <f t="array" ref="G76">IF($C76="Day1",INDEX('2026-07_결과정리'!$E:$G,$E76,2),INDEX('2026-07_결과정리'!$Q:$S,$E76,2))</f>
        <v>240.8574573472757</v>
      </c>
      <c r="H76" s="160" cm="1">
        <f t="array" ref="H76">IF($C76="Day1",INDEX('2026-07_결과정리'!$E:$G,$E76,3),INDEX('2026-07_결과정리'!$Q:$S,$E76,3))</f>
        <v>239.81177765547599</v>
      </c>
      <c r="I76" s="160" cm="1">
        <f t="array" ref="I76">IF($C76="Day1",INDEX('2026-07_결과정리'!$E:$G,$E76+8,1),INDEX('2026-07_결과정리'!$Q:$S,$E76+8,1))</f>
        <v>57.07232801320859</v>
      </c>
      <c r="J76" s="160" cm="1">
        <f t="array" ref="J76">IF($C76="Day1",INDEX('2026-07_결과정리'!$E:$G,$E76+8,2),INDEX('2026-07_결과정리'!$Q:$S,$E76+8,2))</f>
        <v>56.652405063291141</v>
      </c>
      <c r="K76" s="160" cm="1">
        <f t="array" ref="K76">IF($C76="Day1",INDEX('2026-07_결과정리'!$E:$G,$E76+8,3),INDEX('2026-07_결과정리'!$Q:$S,$E76+8,3))</f>
        <v>56.292471106219047</v>
      </c>
      <c r="L76" s="160" cm="1">
        <f t="array" ref="L76">IF($C76="Day1",INDEX('2026-07_결과정리'!$E:$G,$E76+16,1),INDEX('2026-07_결과정리'!$Q:$S,$E76+16,1))</f>
        <v>182.73944964226749</v>
      </c>
      <c r="M76" s="160" cm="1">
        <f t="array" ref="M76">IF($C76="Day1",INDEX('2026-07_결과정리'!$E:$G,$E76+16,2),INDEX('2026-07_결과정리'!$Q:$S,$E76+16,2))</f>
        <v>184.2050522839846</v>
      </c>
      <c r="N76" s="160" cm="1">
        <f t="array" ref="N76">IF($C76="Day1",INDEX('2026-07_결과정리'!$E:$G,$E76+16,3),INDEX('2026-07_결과정리'!$Q:$S,$E76+16,3))</f>
        <v>183.51930654925701</v>
      </c>
      <c r="O76" s="155">
        <f t="shared" si="7"/>
        <v>0</v>
      </c>
      <c r="P76" s="155">
        <f t="shared" si="8"/>
        <v>0</v>
      </c>
      <c r="Q76" s="155">
        <f t="shared" si="9"/>
        <v>0</v>
      </c>
      <c r="R76" s="158" t="str">
        <f>IF($C$8="ALL","없음",IF($C$8="MAN","-",IF($C$8="PAIR","R"&amp;MATCH(MIN($AS76:$AU76),$AS76:$AU76,0),IF($C$8="DIR_BF_HI","R"&amp;MATCH(MIN($F76:$H76),$F76:$H76,0),IF($C$8="DIR_BF_LO","R"&amp;MATCH(MAX($F76:$H76),$F76:$H76,0),IF($C$8="DIR_HDL_HI","R"&amp;MATCH(MIN($I76:$K76),$I76:$K76,0),IF($C$8="DIR_HDL_LO","R"&amp;MATCH(MAX($I76:$K76),$I76:$K76,0),"R"&amp;MATCH(MAX($O76:$Q76),$O76:$Q76,0))))))))</f>
        <v>R3</v>
      </c>
      <c r="S76" s="159"/>
      <c r="T76" s="158" t="str">
        <f t="shared" si="10"/>
        <v>R3</v>
      </c>
      <c r="U76" s="158">
        <f t="shared" si="11"/>
        <v>3</v>
      </c>
      <c r="V76" s="158" t="str">
        <f t="shared" si="12"/>
        <v>R1·R2</v>
      </c>
      <c r="W76" s="161" cm="1">
        <f t="array" ref="W76">IF($T76="입력 필요","-",IF($U76=0,AVERAGE(F76:H76),(SUM(F76:H76)-INDEX(F76:H76,$U76))/2))</f>
        <v>240.33461750137582</v>
      </c>
      <c r="X76" s="161" cm="1">
        <f t="array" ref="X76">IF($T76="입력 필요","-",IF($U76=0,AVERAGE(I76:K76),(SUM(I76:K76)-INDEX(I76:K76,$U76))/2))</f>
        <v>56.862366538249873</v>
      </c>
      <c r="Y76" s="161" cm="1">
        <f t="array" ref="Y76">IF($T76="입력 필요","-",IF($U76=0,AVERAGE(L76:N76),(SUM(L76:N76)-INDEX(L76:N76,$U76))/2))</f>
        <v>183.47225096312602</v>
      </c>
      <c r="Z76" s="155">
        <f t="shared" si="13"/>
        <v>0.56484703329408081</v>
      </c>
      <c r="AA76" s="158" t="str">
        <f t="shared" si="14"/>
        <v>적합</v>
      </c>
      <c r="AB76" s="158" t="s">
        <v>23</v>
      </c>
      <c r="AC76" s="178" t="str">
        <f t="shared" si="15"/>
        <v>차이</v>
      </c>
      <c r="AS76" s="155">
        <f>ABS(CHOOSE(COLUMN()-44,$G76-$H76,$F76-$H76,$F76-$G76))/MEDIAN($F76:$H76)*100+ABS(CHOOSE(COLUMN()-44,$J76-$K76,$I76-$K76,$I76-$J76))/MEDIAN($I76:$K76)*100+ABS(CHOOSE(COLUMN()-44,$M76-$N76,$L76-$N76,$L76-$M76))/MEDIAN($L76:$N76)*100</f>
        <v>1.4450433951696506</v>
      </c>
      <c r="AT76" s="155">
        <f>ABS(CHOOSE(COLUMN()-44,$G76-$H76,$F76-$H76,$F76-$G76))/MEDIAN($F76:$H76)*100+ABS(CHOOSE(COLUMN()-44,$J76-$K76,$I76-$K76,$I76-$J76))/MEDIAN($I76:$K76)*100+ABS(CHOOSE(COLUMN()-44,$M76-$N76,$L76-$N76,$L76-$M76))/MEDIAN($L76:$N76)*100</f>
        <v>1.8015099488692412</v>
      </c>
      <c r="AU76" s="155">
        <f>ABS(CHOOSE(COLUMN()-44,$G76-$H76,$F76-$H76,$F76-$G76))/MEDIAN($F76:$H76)*100+ABS(CHOOSE(COLUMN()-44,$J76-$K76,$I76-$K76,$I76-$J76))/MEDIAN($I76:$K76)*100+ABS(CHOOSE(COLUMN()-44,$M76-$N76,$L76-$N76,$L76-$M76))/MEDIAN($L76:$N76)*100</f>
        <v>1.9758784038665127</v>
      </c>
      <c r="AV76" s="155">
        <f>ABS(F76-MEDIAN($F76:$H76))/MEDIAN($F76:$H76)*100+ABS(I76-MEDIAN($I76:$K76))/MEDIAN($I76:$K76)*100</f>
        <v>0.74122704843389831</v>
      </c>
      <c r="AW76" s="155">
        <f>ABS(G76-MEDIAN($F76:$H76))/MEDIAN($F76:$H76)*100+ABS(J76-MEDIAN($I76:$K76))/MEDIAN($I76:$K76)*100</f>
        <v>0.43604184165715754</v>
      </c>
      <c r="AX76" s="155">
        <f>ABS(H76-MEDIAN($F76:$H76))/MEDIAN($F76:$H76)*100+ABS(K76-MEDIAN($I76:$K76))/MEDIAN($I76:$K76)*100</f>
        <v>0.63533747008618957</v>
      </c>
      <c r="AY76" s="182">
        <f>MATCH(MAX($AV76:$AX76),$AV76:$AX76,0)</f>
        <v>1</v>
      </c>
    </row>
    <row r="77" spans="2:51">
      <c r="B77" s="158" t="s">
        <v>41</v>
      </c>
      <c r="C77" s="158" t="s">
        <v>178</v>
      </c>
      <c r="D77" s="158">
        <v>3</v>
      </c>
      <c r="E77" s="158">
        <v>11</v>
      </c>
      <c r="F77" s="160" cm="1">
        <f t="array" ref="F77">IF($C77="Day1",INDEX('2026-07_결과정리'!$E:$G,$E77,1),INDEX('2026-07_결과정리'!$Q:$S,$E77,1))</f>
        <v>240.42535675082331</v>
      </c>
      <c r="G77" s="160" cm="1">
        <f t="array" ref="G77">IF($C77="Day1",INDEX('2026-07_결과정리'!$E:$G,$E77,2),INDEX('2026-07_결과정리'!$Q:$S,$E77,2))</f>
        <v>240.37047200878149</v>
      </c>
      <c r="H77" s="160" cm="1">
        <f t="array" ref="H77">IF($C77="Day1",INDEX('2026-07_결과정리'!$E:$G,$E77,3),INDEX('2026-07_결과정리'!$Q:$S,$E77,3))</f>
        <v>240.59001097694841</v>
      </c>
      <c r="I77" s="160" cm="1">
        <f t="array" ref="I77">IF($C77="Day1",INDEX('2026-07_결과정리'!$E:$G,$E77+8,1),INDEX('2026-07_결과정리'!$Q:$S,$E77+8,1))</f>
        <v>57.165175631174527</v>
      </c>
      <c r="J77" s="160" cm="1">
        <f t="array" ref="J77">IF($C77="Day1",INDEX('2026-07_결과정리'!$E:$G,$E77+8,2),INDEX('2026-07_결과정리'!$Q:$S,$E77+8,2))</f>
        <v>56.985702524698141</v>
      </c>
      <c r="K77" s="160" cm="1">
        <f t="array" ref="K77">IF($C77="Day1",INDEX('2026-07_결과정리'!$E:$G,$E77+8,3),INDEX('2026-07_결과정리'!$Q:$S,$E77+8,3))</f>
        <v>57.165175631174527</v>
      </c>
      <c r="L77" s="160" cm="1">
        <f t="array" ref="L77">IF($C77="Day1",INDEX('2026-07_결과정리'!$E:$G,$E77+16,1),INDEX('2026-07_결과정리'!$Q:$S,$E77+16,1))</f>
        <v>183.26018111964871</v>
      </c>
      <c r="M77" s="160" cm="1">
        <f t="array" ref="M77">IF($C77="Day1",INDEX('2026-07_결과정리'!$E:$G,$E77+16,2),INDEX('2026-07_결과정리'!$Q:$S,$E77+16,2))</f>
        <v>183.38476948408339</v>
      </c>
      <c r="N77" s="160" cm="1">
        <f t="array" ref="N77">IF($C77="Day1",INDEX('2026-07_결과정리'!$E:$G,$E77+16,3),INDEX('2026-07_결과정리'!$Q:$S,$E77+16,3))</f>
        <v>183.42483534577389</v>
      </c>
      <c r="O77" s="155">
        <f t="shared" si="7"/>
        <v>0</v>
      </c>
      <c r="P77" s="155">
        <f t="shared" si="8"/>
        <v>0</v>
      </c>
      <c r="Q77" s="155">
        <f t="shared" si="9"/>
        <v>0</v>
      </c>
      <c r="R77" s="158" t="str">
        <f>IF($C$8="ALL","없음",IF($C$8="MAN","-",IF($C$8="PAIR","R"&amp;MATCH(MIN($AS77:$AU77),$AS77:$AU77,0),IF($C$8="DIR_BF_HI","R"&amp;MATCH(MIN($F77:$H77),$F77:$H77,0),IF($C$8="DIR_BF_LO","R"&amp;MATCH(MAX($F77:$H77),$F77:$H77,0),IF($C$8="DIR_HDL_HI","R"&amp;MATCH(MIN($I77:$K77),$I77:$K77,0),IF($C$8="DIR_HDL_LO","R"&amp;MATCH(MAX($I77:$K77),$I77:$K77,0),"R"&amp;MATCH(MAX($O77:$Q77),$O77:$Q77,0))))))))</f>
        <v>R2</v>
      </c>
      <c r="S77" s="159"/>
      <c r="T77" s="158" t="str">
        <f t="shared" si="10"/>
        <v>R2</v>
      </c>
      <c r="U77" s="158">
        <f t="shared" si="11"/>
        <v>2</v>
      </c>
      <c r="V77" s="158" t="str">
        <f t="shared" si="12"/>
        <v>R1·R3</v>
      </c>
      <c r="W77" s="161" cm="1">
        <f t="array" ref="W77">IF($T77="입력 필요","-",IF($U77=0,AVERAGE(F77:H77),(SUM(F77:H77)-INDEX(F77:H77,$U77))/2))</f>
        <v>240.50768386388586</v>
      </c>
      <c r="X77" s="161" cm="1">
        <f t="array" ref="X77">IF($T77="입력 필요","-",IF($U77=0,AVERAGE(I77:K77),(SUM(I77:K77)-INDEX(I77:K77,$U77))/2))</f>
        <v>57.165175631174527</v>
      </c>
      <c r="Y77" s="161" cm="1">
        <f t="array" ref="Y77">IF($T77="입력 필요","-",IF($U77=0,AVERAGE(L77:N77),(SUM(L77:N77)-INDEX(L77:N77,$U77))/2))</f>
        <v>183.34250823271131</v>
      </c>
      <c r="Z77" s="155">
        <f t="shared" si="13"/>
        <v>6.3503069182602664E-2</v>
      </c>
      <c r="AA77" s="158" t="str">
        <f t="shared" si="14"/>
        <v>적합</v>
      </c>
      <c r="AB77" s="158" t="s">
        <v>24</v>
      </c>
      <c r="AC77" s="178" t="str">
        <f t="shared" si="15"/>
        <v>일치</v>
      </c>
      <c r="AS77" s="155">
        <f>ABS(CHOOSE(COLUMN()-44,$G77-$H77,$F77-$H77,$F77-$G77))/MEDIAN($F77:$H77)*100+ABS(CHOOSE(COLUMN()-44,$J77-$K77,$I77-$K77,$I77-$J77))/MEDIAN($I77:$K77)*100+ABS(CHOOSE(COLUMN()-44,$M77-$N77,$L77-$N77,$L77-$M77))/MEDIAN($L77:$N77)*100</f>
        <v>0.42711602508627994</v>
      </c>
      <c r="AT77" s="155">
        <f>ABS(CHOOSE(COLUMN()-44,$G77-$H77,$F77-$H77,$F77-$G77))/MEDIAN($F77:$H77)*100+ABS(CHOOSE(COLUMN()-44,$J77-$K77,$I77-$K77,$I77-$J77))/MEDIAN($I77:$K77)*100+ABS(CHOOSE(COLUMN()-44,$M77-$N77,$L77-$N77,$L77-$M77))/MEDIAN($L77:$N77)*100</f>
        <v>0.15827075660329409</v>
      </c>
      <c r="AU77" s="155">
        <f>ABS(CHOOSE(COLUMN()-44,$G77-$H77,$F77-$H77,$F77-$G77))/MEDIAN($F77:$H77)*100+ABS(CHOOSE(COLUMN()-44,$J77-$K77,$I77-$K77,$I77-$J77))/MEDIAN($I77:$K77)*100+ABS(CHOOSE(COLUMN()-44,$M77-$N77,$L77-$N77,$L77-$M77))/MEDIAN($L77:$N77)*100</f>
        <v>0.40472172625555958</v>
      </c>
      <c r="AV77" s="155">
        <f>ABS(F77-MEDIAN($F77:$H77))/MEDIAN($F77:$H77)*100+ABS(I77-MEDIAN($I77:$K77))/MEDIAN($I77:$K77)*100</f>
        <v>0</v>
      </c>
      <c r="AW77" s="155">
        <f>ABS(G77-MEDIAN($F77:$H77))/MEDIAN($F77:$H77)*100+ABS(J77-MEDIAN($I77:$K77))/MEDIAN($I77:$K77)*100</f>
        <v>0.33678349736927271</v>
      </c>
      <c r="AX77" s="155">
        <f>ABS(H77-MEDIAN($F77:$H77))/MEDIAN($F77:$H77)*100+ABS(K77-MEDIAN($I77:$K77))/MEDIAN($I77:$K77)*100</f>
        <v>6.8484551026679691E-2</v>
      </c>
      <c r="AY77" s="182">
        <f>MATCH(MAX($AV77:$AX77),$AV77:$AX77,0)</f>
        <v>2</v>
      </c>
    </row>
    <row r="78" spans="2:51">
      <c r="B78" s="158" t="s">
        <v>43</v>
      </c>
      <c r="C78" s="158" t="s">
        <v>177</v>
      </c>
      <c r="D78" s="158">
        <v>4</v>
      </c>
      <c r="E78" s="158">
        <v>12</v>
      </c>
      <c r="F78" s="160" cm="1">
        <f t="array" ref="F78">IF($C78="Day1",INDEX('2026-07_결과정리'!$E:$G,$E78,1),INDEX('2026-07_결과정리'!$Q:$S,$E78,1))</f>
        <v>240.3070996147496</v>
      </c>
      <c r="G78" s="160" cm="1">
        <f t="array" ref="G78">IF($C78="Day1",INDEX('2026-07_결과정리'!$E:$G,$E78,2),INDEX('2026-07_결과정리'!$Q:$S,$E78,2))</f>
        <v>239.70170610897091</v>
      </c>
      <c r="H78" s="160" cm="1">
        <f t="array" ref="H78">IF($C78="Day1",INDEX('2026-07_결과정리'!$E:$G,$E78,3),INDEX('2026-07_결과정리'!$Q:$S,$E78,3))</f>
        <v>240.52724270776011</v>
      </c>
      <c r="I78" s="160" cm="1">
        <f t="array" ref="I78">IF($C78="Day1",INDEX('2026-07_결과정리'!$E:$G,$E78+8,1),INDEX('2026-07_결과정리'!$Q:$S,$E78+8,1))</f>
        <v>56.532427077600452</v>
      </c>
      <c r="J78" s="160" cm="1">
        <f t="array" ref="J78">IF($C78="Day1",INDEX('2026-07_결과정리'!$E:$G,$E78+8,2),INDEX('2026-07_결과정리'!$Q:$S,$E78+8,2))</f>
        <v>56.892361034672547</v>
      </c>
      <c r="K78" s="160" cm="1">
        <f t="array" ref="K78">IF($C78="Day1",INDEX('2026-07_결과정리'!$E:$G,$E78+8,3),INDEX('2026-07_결과정리'!$Q:$S,$E78+8,3))</f>
        <v>56.532427077600452</v>
      </c>
      <c r="L78" s="160" cm="1">
        <f t="array" ref="L78">IF($C78="Day1",INDEX('2026-07_결과정리'!$E:$G,$E78+16,1),INDEX('2026-07_결과정리'!$Q:$S,$E78+16,1))</f>
        <v>183.7746725371492</v>
      </c>
      <c r="M78" s="160" cm="1">
        <f t="array" ref="M78">IF($C78="Day1",INDEX('2026-07_결과정리'!$E:$G,$E78+16,2),INDEX('2026-07_결과정리'!$Q:$S,$E78+16,2))</f>
        <v>182.80934507429831</v>
      </c>
      <c r="N78" s="160" cm="1">
        <f t="array" ref="N78">IF($C78="Day1",INDEX('2026-07_결과정리'!$E:$G,$E78+16,3),INDEX('2026-07_결과정리'!$Q:$S,$E78+16,3))</f>
        <v>183.99481563015959</v>
      </c>
      <c r="O78" s="155">
        <f t="shared" si="7"/>
        <v>0</v>
      </c>
      <c r="P78" s="155">
        <f t="shared" si="8"/>
        <v>0</v>
      </c>
      <c r="Q78" s="155">
        <f t="shared" si="9"/>
        <v>0</v>
      </c>
      <c r="R78" s="158" t="str">
        <f>IF($C$8="ALL","없음",IF($C$8="MAN","-",IF($C$8="PAIR","R"&amp;MATCH(MIN($AS78:$AU78),$AS78:$AU78,0),IF($C$8="DIR_BF_HI","R"&amp;MATCH(MIN($F78:$H78),$F78:$H78,0),IF($C$8="DIR_BF_LO","R"&amp;MATCH(MAX($F78:$H78),$F78:$H78,0),IF($C$8="DIR_HDL_HI","R"&amp;MATCH(MIN($I78:$K78),$I78:$K78,0),IF($C$8="DIR_HDL_LO","R"&amp;MATCH(MAX($I78:$K78),$I78:$K78,0),"R"&amp;MATCH(MAX($O78:$Q78),$O78:$Q78,0))))))))</f>
        <v>R1</v>
      </c>
      <c r="S78" s="159"/>
      <c r="T78" s="158" t="str">
        <f t="shared" si="10"/>
        <v>R1</v>
      </c>
      <c r="U78" s="158">
        <f t="shared" si="11"/>
        <v>1</v>
      </c>
      <c r="V78" s="158" t="str">
        <f t="shared" si="12"/>
        <v>R2·R3</v>
      </c>
      <c r="W78" s="161" cm="1">
        <f t="array" ref="W78">IF($T78="입력 필요","-",IF($U78=0,AVERAGE(F78:H78),(SUM(F78:H78)-INDEX(F78:H78,$U78))/2))</f>
        <v>240.11447440836548</v>
      </c>
      <c r="X78" s="161" cm="1">
        <f t="array" ref="X78">IF($T78="입력 필요","-",IF($U78=0,AVERAGE(I78:K78),(SUM(I78:K78)-INDEX(I78:K78,$U78))/2))</f>
        <v>56.712394056136503</v>
      </c>
      <c r="Y78" s="161" cm="1">
        <f t="array" ref="Y78">IF($T78="입력 필요","-",IF($U78=0,AVERAGE(L78:N78),(SUM(L78:N78)-INDEX(L78:N78,$U78))/2))</f>
        <v>183.40208035222895</v>
      </c>
      <c r="Z78" s="155">
        <f t="shared" si="13"/>
        <v>0.45705821184613071</v>
      </c>
      <c r="AA78" s="158" t="str">
        <f t="shared" si="14"/>
        <v>적합</v>
      </c>
      <c r="AB78" s="158" t="s">
        <v>24</v>
      </c>
      <c r="AC78" s="178" t="str">
        <f t="shared" si="15"/>
        <v>차이</v>
      </c>
      <c r="AS78" s="155">
        <f>ABS(CHOOSE(COLUMN()-44,$G78-$H78,$F78-$H78,$F78-$G78))/MEDIAN($F78:$H78)*100+ABS(CHOOSE(COLUMN()-44,$J78-$K78,$I78-$K78,$I78-$J78))/MEDIAN($I78:$K78)*100+ABS(CHOOSE(COLUMN()-44,$M78-$N78,$L78-$N78,$L78-$M78))/MEDIAN($L78:$N78)*100</f>
        <v>1.6252872702919305</v>
      </c>
      <c r="AT78" s="155">
        <f>ABS(CHOOSE(COLUMN()-44,$G78-$H78,$F78-$H78,$F78-$G78))/MEDIAN($F78:$H78)*100+ABS(CHOOSE(COLUMN()-44,$J78-$K78,$I78-$K78,$I78-$J78))/MEDIAN($I78:$K78)*100+ABS(CHOOSE(COLUMN()-44,$M78-$N78,$L78-$N78,$L78-$M78))/MEDIAN($L78:$N78)*100</f>
        <v>0.21139874793190111</v>
      </c>
      <c r="AU78" s="155">
        <f>ABS(CHOOSE(COLUMN()-44,$G78-$H78,$F78-$H78,$F78-$G78))/MEDIAN($F78:$H78)*100+ABS(CHOOSE(COLUMN()-44,$J78-$K78,$I78-$K78,$I78-$J78))/MEDIAN($I78:$K78)*100+ABS(CHOOSE(COLUMN()-44,$M78-$N78,$L78-$N78,$L78-$M78))/MEDIAN($L78:$N78)*100</f>
        <v>1.4138885223600293</v>
      </c>
      <c r="AV78" s="155">
        <f>ABS(F78-MEDIAN($F78:$H78))/MEDIAN($F78:$H78)*100+ABS(I78-MEDIAN($I78:$K78))/MEDIAN($I78:$K78)*100</f>
        <v>0</v>
      </c>
      <c r="AW78" s="155">
        <f>ABS(G78-MEDIAN($F78:$H78))/MEDIAN($F78:$H78)*100+ABS(J78-MEDIAN($I78:$K78))/MEDIAN($I78:$K78)*100</f>
        <v>0.88861077351476481</v>
      </c>
      <c r="AX78" s="155">
        <f>ABS(H78-MEDIAN($F78:$H78))/MEDIAN($F78:$H78)*100+ABS(K78-MEDIAN($I78:$K78))/MEDIAN($I78:$K78)*100</f>
        <v>9.1609067465518265E-2</v>
      </c>
      <c r="AY78" s="182">
        <f>MATCH(MAX($AV78:$AX78),$AV78:$AX78,0)</f>
        <v>2</v>
      </c>
    </row>
    <row r="79" spans="2:51">
      <c r="B79" s="158" t="s">
        <v>43</v>
      </c>
      <c r="C79" s="158" t="s">
        <v>178</v>
      </c>
      <c r="D79" s="158">
        <v>4</v>
      </c>
      <c r="E79" s="158">
        <v>12</v>
      </c>
      <c r="F79" s="160" cm="1">
        <f t="array" ref="F79">IF($C79="Day1",INDEX('2026-07_결과정리'!$E:$G,$E79,1),INDEX('2026-07_결과정리'!$Q:$S,$E79,1))</f>
        <v>241.63282107574091</v>
      </c>
      <c r="G79" s="160" cm="1">
        <f t="array" ref="G79">IF($C79="Day1",INDEX('2026-07_결과정리'!$E:$G,$E79,2),INDEX('2026-07_결과정리'!$Q:$S,$E79,2))</f>
        <v>241.0839736553238</v>
      </c>
      <c r="H79" s="160" cm="1">
        <f t="array" ref="H79">IF($C79="Day1",INDEX('2026-07_결과정리'!$E:$G,$E79,3),INDEX('2026-07_결과정리'!$Q:$S,$E79,3))</f>
        <v>242.78540065861691</v>
      </c>
      <c r="I79" s="160" cm="1">
        <f t="array" ref="I79">IF($C79="Day1",INDEX('2026-07_결과정리'!$E:$G,$E79+8,1),INDEX('2026-07_결과정리'!$Q:$S,$E79+8,1))</f>
        <v>57.284824368825483</v>
      </c>
      <c r="J79" s="160" cm="1">
        <f t="array" ref="J79">IF($C79="Day1",INDEX('2026-07_결과정리'!$E:$G,$E79+8,2),INDEX('2026-07_결과정리'!$Q:$S,$E79+8,2))</f>
        <v>57.64377058177827</v>
      </c>
      <c r="K79" s="160" cm="1">
        <f t="array" ref="K79">IF($C79="Day1",INDEX('2026-07_결과정리'!$E:$G,$E79+8,3),INDEX('2026-07_결과정리'!$Q:$S,$E79+8,3))</f>
        <v>56.985702524698141</v>
      </c>
      <c r="L79" s="160" cm="1">
        <f t="array" ref="L79">IF($C79="Day1",INDEX('2026-07_결과정리'!$E:$G,$E79+16,1),INDEX('2026-07_결과정리'!$Q:$S,$E79+16,1))</f>
        <v>184.3479967069155</v>
      </c>
      <c r="M79" s="160" cm="1">
        <f t="array" ref="M79">IF($C79="Day1",INDEX('2026-07_결과정리'!$E:$G,$E79+16,2),INDEX('2026-07_결과정리'!$Q:$S,$E79+16,2))</f>
        <v>183.44020307354549</v>
      </c>
      <c r="N79" s="160" cm="1">
        <f t="array" ref="N79">IF($C79="Day1",INDEX('2026-07_결과정리'!$E:$G,$E79+16,3),INDEX('2026-07_결과정리'!$Q:$S,$E79+16,3))</f>
        <v>185.79969813391881</v>
      </c>
      <c r="O79" s="155">
        <f t="shared" si="7"/>
        <v>0</v>
      </c>
      <c r="P79" s="155">
        <f t="shared" si="8"/>
        <v>0</v>
      </c>
      <c r="Q79" s="155">
        <f t="shared" si="9"/>
        <v>0</v>
      </c>
      <c r="R79" s="158" t="str">
        <f>IF($C$8="ALL","없음",IF($C$8="MAN","-",IF($C$8="PAIR","R"&amp;MATCH(MIN($AS79:$AU79),$AS79:$AU79,0),IF($C$8="DIR_BF_HI","R"&amp;MATCH(MIN($F79:$H79),$F79:$H79,0),IF($C$8="DIR_BF_LO","R"&amp;MATCH(MAX($F79:$H79),$F79:$H79,0),IF($C$8="DIR_HDL_HI","R"&amp;MATCH(MIN($I79:$K79),$I79:$K79,0),IF($C$8="DIR_HDL_LO","R"&amp;MATCH(MAX($I79:$K79),$I79:$K79,0),"R"&amp;MATCH(MAX($O79:$Q79),$O79:$Q79,0))))))))</f>
        <v>R3</v>
      </c>
      <c r="S79" s="159"/>
      <c r="T79" s="158" t="str">
        <f t="shared" si="10"/>
        <v>R3</v>
      </c>
      <c r="U79" s="158">
        <f t="shared" si="11"/>
        <v>3</v>
      </c>
      <c r="V79" s="158" t="str">
        <f t="shared" si="12"/>
        <v>R1·R2</v>
      </c>
      <c r="W79" s="161" cm="1">
        <f t="array" ref="W79">IF($T79="입력 필요","-",IF($U79=0,AVERAGE(F79:H79),(SUM(F79:H79)-INDEX(F79:H79,$U79))/2))</f>
        <v>241.35839736553237</v>
      </c>
      <c r="X79" s="161" cm="1">
        <f t="array" ref="X79">IF($T79="입력 필요","-",IF($U79=0,AVERAGE(I79:K79),(SUM(I79:K79)-INDEX(I79:K79,$U79))/2))</f>
        <v>57.464297475301883</v>
      </c>
      <c r="Y79" s="161" cm="1">
        <f t="array" ref="Y79">IF($T79="입력 필요","-",IF($U79=0,AVERAGE(L79:N79),(SUM(L79:N79)-INDEX(L79:N79,$U79))/2))</f>
        <v>183.89409989023051</v>
      </c>
      <c r="Z79" s="155">
        <f t="shared" si="13"/>
        <v>0.34906341990149237</v>
      </c>
      <c r="AA79" s="158" t="str">
        <f t="shared" si="14"/>
        <v>적합</v>
      </c>
      <c r="AB79" s="158" t="s">
        <v>25</v>
      </c>
      <c r="AC79" s="178" t="str">
        <f t="shared" si="15"/>
        <v>일치</v>
      </c>
      <c r="AS79" s="155">
        <f>ABS(CHOOSE(COLUMN()-44,$G79-$H79,$F79-$H79,$F79-$G79))/MEDIAN($F79:$H79)*100+ABS(CHOOSE(COLUMN()-44,$J79-$K79,$I79-$K79,$I79-$J79))/MEDIAN($I79:$K79)*100+ABS(CHOOSE(COLUMN()-44,$M79-$N79,$L79-$N79,$L79-$M79))/MEDIAN($L79:$N79)*100</f>
        <v>3.1328160411857975</v>
      </c>
      <c r="AT79" s="155">
        <f>ABS(CHOOSE(COLUMN()-44,$G79-$H79,$F79-$H79,$F79-$G79))/MEDIAN($F79:$H79)*100+ABS(CHOOSE(COLUMN()-44,$J79-$K79,$I79-$K79,$I79-$J79))/MEDIAN($I79:$K79)*100+ABS(CHOOSE(COLUMN()-44,$M79-$N79,$L79-$N79,$L79-$M79))/MEDIAN($L79:$N79)*100</f>
        <v>1.786641049409762</v>
      </c>
      <c r="AU79" s="155">
        <f>ABS(CHOOSE(COLUMN()-44,$G79-$H79,$F79-$H79,$F79-$G79))/MEDIAN($F79:$H79)*100+ABS(CHOOSE(COLUMN()-44,$J79-$K79,$I79-$K79,$I79-$J79))/MEDIAN($I79:$K79)*100+ABS(CHOOSE(COLUMN()-44,$M79-$N79,$L79-$N79,$L79-$M79))/MEDIAN($L79:$N79)*100</f>
        <v>1.3461749917760355</v>
      </c>
      <c r="AV79" s="155">
        <f>ABS(F79-MEDIAN($F79:$H79))/MEDIAN($F79:$H79)*100+ABS(I79-MEDIAN($I79:$K79))/MEDIAN($I79:$K79)*100</f>
        <v>0</v>
      </c>
      <c r="AW79" s="155">
        <f>ABS(G79-MEDIAN($F79:$H79))/MEDIAN($F79:$H79)*100+ABS(J79-MEDIAN($I79:$K79))/MEDIAN($I79:$K79)*100</f>
        <v>0.85374022189174159</v>
      </c>
      <c r="AX79" s="155">
        <f>ABS(H79-MEDIAN($F79:$H79))/MEDIAN($F79:$H79)*100+ABS(K79-MEDIAN($I79:$K79))/MEDIAN($I79:$K79)*100</f>
        <v>0.99916223058034292</v>
      </c>
      <c r="AY79" s="182">
        <f>MATCH(MAX($AV79:$AX79),$AV79:$AX79,0)</f>
        <v>3</v>
      </c>
    </row>
    <row r="80" spans="2:51">
      <c r="B80" s="158" t="s">
        <v>45</v>
      </c>
      <c r="C80" s="158" t="s">
        <v>177</v>
      </c>
      <c r="D80" s="158">
        <v>5</v>
      </c>
      <c r="E80" s="158">
        <v>13</v>
      </c>
      <c r="F80" s="160" cm="1">
        <f t="array" ref="F80">IF($C80="Day1",INDEX('2026-07_결과정리'!$E:$G,$E80,1),INDEX('2026-07_결과정리'!$Q:$S,$E80,1))</f>
        <v>132.76719867914139</v>
      </c>
      <c r="G80" s="160" cm="1">
        <f t="array" ref="G80">IF($C80="Day1",INDEX('2026-07_결과정리'!$E:$G,$E80,2),INDEX('2026-07_결과정리'!$Q:$S,$E80,2))</f>
        <v>132.4920198128784</v>
      </c>
      <c r="H80" s="160" cm="1">
        <f t="array" ref="H80">IF($C80="Day1",INDEX('2026-07_결과정리'!$E:$G,$E80,3),INDEX('2026-07_결과정리'!$Q:$S,$E80,3))</f>
        <v>132.4920198128784</v>
      </c>
      <c r="I80" s="160" cm="1">
        <f t="array" ref="I80">IF($C80="Day1",INDEX('2026-07_결과정리'!$E:$G,$E80+8,1),INDEX('2026-07_결과정리'!$Q:$S,$E80+8,1))</f>
        <v>52.15323059988993</v>
      </c>
      <c r="J80" s="160" cm="1">
        <f t="array" ref="J80">IF($C80="Day1",INDEX('2026-07_결과정리'!$E:$G,$E80+8,2),INDEX('2026-07_결과정리'!$Q:$S,$E80+8,2))</f>
        <v>52.393186571271329</v>
      </c>
      <c r="K80" s="160" cm="1">
        <f t="array" ref="K80">IF($C80="Day1",INDEX('2026-07_결과정리'!$E:$G,$E80+8,3),INDEX('2026-07_결과정리'!$Q:$S,$E80+8,3))</f>
        <v>52.093241607044583</v>
      </c>
      <c r="L80" s="160" cm="1">
        <f t="array" ref="L80">IF($C80="Day1",INDEX('2026-07_결과정리'!$E:$G,$E80+16,1),INDEX('2026-07_결과정리'!$Q:$S,$E80+16,1))</f>
        <v>80.613968079251521</v>
      </c>
      <c r="M80" s="160" cm="1">
        <f t="array" ref="M80">IF($C80="Day1",INDEX('2026-07_결과정리'!$E:$G,$E80+16,2),INDEX('2026-07_결과정리'!$Q:$S,$E80+16,2))</f>
        <v>80.098833241607039</v>
      </c>
      <c r="N80" s="160" cm="1">
        <f t="array" ref="N80">IF($C80="Day1",INDEX('2026-07_결과정리'!$E:$G,$E80+16,3),INDEX('2026-07_결과정리'!$Q:$S,$E80+16,3))</f>
        <v>80.398778205833793</v>
      </c>
      <c r="O80" s="155">
        <f t="shared" si="7"/>
        <v>0</v>
      </c>
      <c r="P80" s="155">
        <f t="shared" si="8"/>
        <v>0</v>
      </c>
      <c r="Q80" s="155">
        <f t="shared" si="9"/>
        <v>0</v>
      </c>
      <c r="R80" s="158" t="str">
        <f>IF($C$8="ALL","없음",IF($C$8="MAN","-",IF($C$8="PAIR","R"&amp;MATCH(MIN($AS80:$AU80),$AS80:$AU80,0),IF($C$8="DIR_BF_HI","R"&amp;MATCH(MIN($F80:$H80),$F80:$H80,0),IF($C$8="DIR_BF_LO","R"&amp;MATCH(MAX($F80:$H80),$F80:$H80,0),IF($C$8="DIR_HDL_HI","R"&amp;MATCH(MIN($I80:$K80),$I80:$K80,0),IF($C$8="DIR_HDL_LO","R"&amp;MATCH(MAX($I80:$K80),$I80:$K80,0),"R"&amp;MATCH(MAX($O80:$Q80),$O80:$Q80,0))))))))</f>
        <v>R3</v>
      </c>
      <c r="S80" s="159"/>
      <c r="T80" s="158" t="str">
        <f t="shared" si="10"/>
        <v>R3</v>
      </c>
      <c r="U80" s="158">
        <f t="shared" si="11"/>
        <v>3</v>
      </c>
      <c r="V80" s="158" t="str">
        <f t="shared" si="12"/>
        <v>R1·R2</v>
      </c>
      <c r="W80" s="161" cm="1">
        <f t="array" ref="W80">IF($T80="입력 필요","-",IF($U80=0,AVERAGE(F80:H80),(SUM(F80:H80)-INDEX(F80:H80,$U80))/2))</f>
        <v>132.62960924600986</v>
      </c>
      <c r="X80" s="161" cm="1">
        <f t="array" ref="X80">IF($T80="입력 필요","-",IF($U80=0,AVERAGE(I80:K80),(SUM(I80:K80)-INDEX(I80:K80,$U80))/2))</f>
        <v>52.273208585580633</v>
      </c>
      <c r="Y80" s="161" cm="1">
        <f t="array" ref="Y80">IF($T80="입력 필요","-",IF($U80=0,AVERAGE(L80:N80),(SUM(L80:N80)-INDEX(L80:N80,$U80))/2))</f>
        <v>80.356400660429273</v>
      </c>
      <c r="Z80" s="155">
        <f t="shared" si="13"/>
        <v>0.45329971717264589</v>
      </c>
      <c r="AA80" s="158" t="str">
        <f t="shared" si="14"/>
        <v>적합</v>
      </c>
      <c r="AB80" s="158" t="s">
        <v>24</v>
      </c>
      <c r="AC80" s="178" t="str">
        <f t="shared" si="15"/>
        <v>차이</v>
      </c>
      <c r="AS80" s="155">
        <f>ABS(CHOOSE(COLUMN()-44,$G80-$H80,$F80-$H80,$F80-$G80))/MEDIAN($F80:$H80)*100+ABS(CHOOSE(COLUMN()-44,$J80-$K80,$I80-$K80,$I80-$J80))/MEDIAN($I80:$K80)*100+ABS(CHOOSE(COLUMN()-44,$M80-$N80,$L80-$N80,$L80-$M80))/MEDIAN($L80:$N80)*100</f>
        <v>0.94819404635781712</v>
      </c>
      <c r="AT80" s="155">
        <f>ABS(CHOOSE(COLUMN()-44,$G80-$H80,$F80-$H80,$F80-$G80))/MEDIAN($F80:$H80)*100+ABS(CHOOSE(COLUMN()-44,$J80-$K80,$I80-$K80,$I80-$J80))/MEDIAN($I80:$K80)*100+ABS(CHOOSE(COLUMN()-44,$M80-$N80,$L80-$N80,$L80-$M80))/MEDIAN($L80:$N80)*100</f>
        <v>0.59037233610199902</v>
      </c>
      <c r="AU80" s="155">
        <f>ABS(CHOOSE(COLUMN()-44,$G80-$H80,$F80-$H80,$F80-$G80))/MEDIAN($F80:$H80)*100+ABS(CHOOSE(COLUMN()-44,$J80-$K80,$I80-$K80,$I80-$J80))/MEDIAN($I80:$K80)*100+ABS(CHOOSE(COLUMN()-44,$M80-$N80,$L80-$N80,$L80-$M80))/MEDIAN($L80:$N80)*100</f>
        <v>1.3085173820227292</v>
      </c>
      <c r="AV80" s="155">
        <f>ABS(F80-MEDIAN($F80:$H80))/MEDIAN($F80:$H80)*100+ABS(I80-MEDIAN($I80:$K80))/MEDIAN($I80:$K80)*100</f>
        <v>0.20769467221620758</v>
      </c>
      <c r="AW80" s="155">
        <f>ABS(G80-MEDIAN($F80:$H80))/MEDIAN($F80:$H80)*100+ABS(J80-MEDIAN($I80:$K80))/MEDIAN($I80:$K80)*100</f>
        <v>0.46009800087418745</v>
      </c>
      <c r="AX80" s="155">
        <f>ABS(H80-MEDIAN($F80:$H80))/MEDIAN($F80:$H80)*100+ABS(K80-MEDIAN($I80:$K80))/MEDIAN($I80:$K80)*100</f>
        <v>0.11502450021854346</v>
      </c>
      <c r="AY80" s="182">
        <f>MATCH(MAX($AV80:$AX80),$AV80:$AX80,0)</f>
        <v>2</v>
      </c>
    </row>
    <row r="81" spans="2:51">
      <c r="B81" s="158" t="s">
        <v>45</v>
      </c>
      <c r="C81" s="158" t="s">
        <v>178</v>
      </c>
      <c r="D81" s="158">
        <v>5</v>
      </c>
      <c r="E81" s="158">
        <v>13</v>
      </c>
      <c r="F81" s="160" cm="1">
        <f t="array" ref="F81">IF($C81="Day1",INDEX('2026-07_결과정리'!$E:$G,$E81,1),INDEX('2026-07_결과정리'!$Q:$S,$E81,1))</f>
        <v>131.14983534577391</v>
      </c>
      <c r="G81" s="160" cm="1">
        <f t="array" ref="G81">IF($C81="Day1",INDEX('2026-07_결과정리'!$E:$G,$E81,2),INDEX('2026-07_결과정리'!$Q:$S,$E81,2))</f>
        <v>131.2596048298573</v>
      </c>
      <c r="H81" s="160" cm="1">
        <f t="array" ref="H81">IF($C81="Day1",INDEX('2026-07_결과정리'!$E:$G,$E81,3),INDEX('2026-07_결과정리'!$Q:$S,$E81,3))</f>
        <v>131.69868276619101</v>
      </c>
      <c r="I81" s="160" cm="1">
        <f t="array" ref="I81">IF($C81="Day1",INDEX('2026-07_결과정리'!$E:$G,$E81+8,1),INDEX('2026-07_결과정리'!$Q:$S,$E81+8,1))</f>
        <v>52.917645444566418</v>
      </c>
      <c r="J81" s="160" cm="1">
        <f t="array" ref="J81">IF($C81="Day1",INDEX('2026-07_결과정리'!$E:$G,$E81+8,2),INDEX('2026-07_결과정리'!$Q:$S,$E81+8,2))</f>
        <v>52.498874862788149</v>
      </c>
      <c r="K81" s="160" cm="1">
        <f t="array" ref="K81">IF($C81="Day1",INDEX('2026-07_결과정리'!$E:$G,$E81+8,3),INDEX('2026-07_결과정리'!$Q:$S,$E81+8,3))</f>
        <v>52.498874862788149</v>
      </c>
      <c r="L81" s="160" cm="1">
        <f t="array" ref="L81">IF($C81="Day1",INDEX('2026-07_결과정리'!$E:$G,$E81+16,1),INDEX('2026-07_결과정리'!$Q:$S,$E81+16,1))</f>
        <v>78.232189901207462</v>
      </c>
      <c r="M81" s="160" cm="1">
        <f t="array" ref="M81">IF($C81="Day1",INDEX('2026-07_결과정리'!$E:$G,$E81+16,2),INDEX('2026-07_결과정리'!$Q:$S,$E81+16,2))</f>
        <v>78.760729967069153</v>
      </c>
      <c r="N81" s="160" cm="1">
        <f t="array" ref="N81">IF($C81="Day1",INDEX('2026-07_결과정리'!$E:$G,$E81+16,3),INDEX('2026-07_결과정리'!$Q:$S,$E81+16,3))</f>
        <v>79.199807903402842</v>
      </c>
      <c r="O81" s="155">
        <f t="shared" si="7"/>
        <v>0</v>
      </c>
      <c r="P81" s="155">
        <f t="shared" si="8"/>
        <v>0</v>
      </c>
      <c r="Q81" s="155">
        <f t="shared" si="9"/>
        <v>0</v>
      </c>
      <c r="R81" s="158" t="str">
        <f>IF($C$8="ALL","없음",IF($C$8="MAN","-",IF($C$8="PAIR","R"&amp;MATCH(MIN($AS81:$AU81),$AS81:$AU81,0),IF($C$8="DIR_BF_HI","R"&amp;MATCH(MIN($F81:$H81),$F81:$H81,0),IF($C$8="DIR_BF_LO","R"&amp;MATCH(MAX($F81:$H81),$F81:$H81,0),IF($C$8="DIR_HDL_HI","R"&amp;MATCH(MIN($I81:$K81),$I81:$K81,0),IF($C$8="DIR_HDL_LO","R"&amp;MATCH(MAX($I81:$K81),$I81:$K81,0),"R"&amp;MATCH(MAX($O81:$Q81),$O81:$Q81,0))))))))</f>
        <v>R2</v>
      </c>
      <c r="S81" s="159"/>
      <c r="T81" s="158" t="str">
        <f t="shared" si="10"/>
        <v>R2</v>
      </c>
      <c r="U81" s="158">
        <f t="shared" si="11"/>
        <v>2</v>
      </c>
      <c r="V81" s="158" t="str">
        <f t="shared" si="12"/>
        <v>R1·R3</v>
      </c>
      <c r="W81" s="161" cm="1">
        <f t="array" ref="W81">IF($T81="입력 필요","-",IF($U81=0,AVERAGE(F81:H81),(SUM(F81:H81)-INDEX(F81:H81,$U81))/2))</f>
        <v>131.42425905598247</v>
      </c>
      <c r="X81" s="161" cm="1">
        <f t="array" ref="X81">IF($T81="입력 필요","-",IF($U81=0,AVERAGE(I81:K81),(SUM(I81:K81)-INDEX(I81:K81,$U81))/2))</f>
        <v>52.708260153677287</v>
      </c>
      <c r="Y81" s="161" cm="1">
        <f t="array" ref="Y81">IF($T81="입력 필요","-",IF($U81=0,AVERAGE(L81:N81),(SUM(L81:N81)-INDEX(L81:N81,$U81))/2))</f>
        <v>78.715998902305145</v>
      </c>
      <c r="Z81" s="155">
        <f t="shared" si="13"/>
        <v>0.869212435199747</v>
      </c>
      <c r="AA81" s="158" t="str">
        <f t="shared" si="14"/>
        <v>적합</v>
      </c>
      <c r="AB81" s="158" t="s">
        <v>23</v>
      </c>
      <c r="AC81" s="178" t="str">
        <f t="shared" si="15"/>
        <v>차이</v>
      </c>
      <c r="AS81" s="155">
        <f>ABS(CHOOSE(COLUMN()-44,$G81-$H81,$F81-$H81,$F81-$G81))/MEDIAN($F81:$H81)*100+ABS(CHOOSE(COLUMN()-44,$J81-$K81,$I81-$K81,$I81-$J81))/MEDIAN($I81:$K81)*100+ABS(CHOOSE(COLUMN()-44,$M81-$N81,$L81-$N81,$L81-$M81))/MEDIAN($L81:$N81)*100</f>
        <v>0.8919944162844704</v>
      </c>
      <c r="AT81" s="155">
        <f>ABS(CHOOSE(COLUMN()-44,$G81-$H81,$F81-$H81,$F81-$G81))/MEDIAN($F81:$H81)*100+ABS(CHOOSE(COLUMN()-44,$J81-$K81,$I81-$K81,$I81-$J81))/MEDIAN($I81:$K81)*100+ABS(CHOOSE(COLUMN()-44,$M81-$N81,$L81-$N81,$L81-$M81))/MEDIAN($L81:$N81)*100</f>
        <v>2.4443680878525536</v>
      </c>
      <c r="AU81" s="155">
        <f>ABS(CHOOSE(COLUMN()-44,$G81-$H81,$F81-$H81,$F81-$G81))/MEDIAN($F81:$H81)*100+ABS(CHOOSE(COLUMN()-44,$J81-$K81,$I81-$K81,$I81-$J81))/MEDIAN($I81:$K81)*100+ABS(CHOOSE(COLUMN()-44,$M81-$N81,$L81-$N81,$L81-$M81))/MEDIAN($L81:$N81)*100</f>
        <v>1.5523736715680831</v>
      </c>
      <c r="AV81" s="155">
        <f>ABS(F81-MEDIAN($F81:$H81))/MEDIAN($F81:$H81)*100+ABS(I81-MEDIAN($I81:$K81))/MEDIAN($I81:$K81)*100</f>
        <v>0.88130311891744129</v>
      </c>
      <c r="AW81" s="155">
        <f>ABS(G81-MEDIAN($F81:$H81))/MEDIAN($F81:$H81)*100+ABS(J81-MEDIAN($I81:$K81))/MEDIAN($I81:$K81)*100</f>
        <v>0</v>
      </c>
      <c r="AX81" s="155">
        <f>ABS(H81-MEDIAN($F81:$H81))/MEDIAN($F81:$H81)*100+ABS(K81-MEDIAN($I81:$K81))/MEDIAN($I81:$K81)*100</f>
        <v>0.33451109113337923</v>
      </c>
      <c r="AY81" s="182">
        <f>MATCH(MAX($AV81:$AX81),$AV81:$AX81,0)</f>
        <v>1</v>
      </c>
    </row>
    <row r="82" spans="2:51">
      <c r="B82" s="158" t="s">
        <v>47</v>
      </c>
      <c r="C82" s="158" t="s">
        <v>177</v>
      </c>
      <c r="D82" s="158">
        <v>6</v>
      </c>
      <c r="E82" s="158">
        <v>14</v>
      </c>
      <c r="F82" s="160" cm="1">
        <f t="array" ref="F82">IF($C82="Day1",INDEX('2026-07_결과정리'!$E:$G,$E82,1),INDEX('2026-07_결과정리'!$Q:$S,$E82,1))</f>
        <v>131.83159053384699</v>
      </c>
      <c r="G82" s="160" cm="1">
        <f t="array" ref="G82">IF($C82="Day1",INDEX('2026-07_결과정리'!$E:$G,$E82,2),INDEX('2026-07_결과정리'!$Q:$S,$E82,2))</f>
        <v>132.32691249312049</v>
      </c>
      <c r="H82" s="160" cm="1">
        <f t="array" ref="H82">IF($C82="Day1",INDEX('2026-07_결과정리'!$E:$G,$E82,3),INDEX('2026-07_결과정리'!$Q:$S,$E82,3))</f>
        <v>132.43698403962571</v>
      </c>
      <c r="I82" s="160" cm="1">
        <f t="array" ref="I82">IF($C82="Day1",INDEX('2026-07_결과정리'!$E:$G,$E82+8,1),INDEX('2026-07_결과정리'!$Q:$S,$E82+8,1))</f>
        <v>52.63314254265272</v>
      </c>
      <c r="J82" s="160" cm="1">
        <f t="array" ref="J82">IF($C82="Day1",INDEX('2026-07_결과정리'!$E:$G,$E82+8,2),INDEX('2026-07_결과정리'!$Q:$S,$E82+8,2))</f>
        <v>52.993076499724822</v>
      </c>
      <c r="K82" s="160" cm="1">
        <f t="array" ref="K82">IF($C82="Day1",INDEX('2026-07_결과정리'!$E:$G,$E82+8,3),INDEX('2026-07_결과정리'!$Q:$S,$E82+8,3))</f>
        <v>52.573153549807373</v>
      </c>
      <c r="L82" s="160" cm="1">
        <f t="array" ref="L82">IF($C82="Day1",INDEX('2026-07_결과정리'!$E:$G,$E82+16,1),INDEX('2026-07_결과정리'!$Q:$S,$E82+16,1))</f>
        <v>79.198447991194271</v>
      </c>
      <c r="M82" s="160" cm="1">
        <f t="array" ref="M82">IF($C82="Day1",INDEX('2026-07_결과정리'!$E:$G,$E82+16,2),INDEX('2026-07_결과정리'!$Q:$S,$E82+16,2))</f>
        <v>79.333835993395724</v>
      </c>
      <c r="N82" s="160" cm="1">
        <f t="array" ref="N82">IF($C82="Day1",INDEX('2026-07_결과정리'!$E:$G,$E82+16,3),INDEX('2026-07_결과정리'!$Q:$S,$E82+16,3))</f>
        <v>79.863830489818369</v>
      </c>
      <c r="O82" s="155">
        <f t="shared" si="7"/>
        <v>0</v>
      </c>
      <c r="P82" s="155">
        <f t="shared" si="8"/>
        <v>0</v>
      </c>
      <c r="Q82" s="155">
        <f t="shared" si="9"/>
        <v>0</v>
      </c>
      <c r="R82" s="158" t="str">
        <f>IF($C$8="ALL","없음",IF($C$8="MAN","-",IF($C$8="PAIR","R"&amp;MATCH(MIN($AS82:$AU82),$AS82:$AU82,0),IF($C$8="DIR_BF_HI","R"&amp;MATCH(MIN($F82:$H82),$F82:$H82,0),IF($C$8="DIR_BF_LO","R"&amp;MATCH(MAX($F82:$H82),$F82:$H82,0),IF($C$8="DIR_HDL_HI","R"&amp;MATCH(MIN($I82:$K82),$I82:$K82,0),IF($C$8="DIR_HDL_LO","R"&amp;MATCH(MAX($I82:$K82),$I82:$K82,0),"R"&amp;MATCH(MAX($O82:$Q82),$O82:$Q82,0))))))))</f>
        <v>R3</v>
      </c>
      <c r="S82" s="159"/>
      <c r="T82" s="158" t="str">
        <f t="shared" si="10"/>
        <v>R3</v>
      </c>
      <c r="U82" s="158">
        <f t="shared" si="11"/>
        <v>3</v>
      </c>
      <c r="V82" s="158" t="str">
        <f t="shared" si="12"/>
        <v>R1·R2</v>
      </c>
      <c r="W82" s="161" cm="1">
        <f t="array" ref="W82">IF($T82="입력 필요","-",IF($U82=0,AVERAGE(F82:H82),(SUM(F82:H82)-INDEX(F82:H82,$U82))/2))</f>
        <v>132.07925151348374</v>
      </c>
      <c r="X82" s="161" cm="1">
        <f t="array" ref="X82">IF($T82="입력 필요","-",IF($U82=0,AVERAGE(I82:K82),(SUM(I82:K82)-INDEX(I82:K82,$U82))/2))</f>
        <v>52.813109521188771</v>
      </c>
      <c r="Y82" s="161" cm="1">
        <f t="array" ref="Y82">IF($T82="입력 필요","-",IF($U82=0,AVERAGE(L82:N82),(SUM(L82:N82)-INDEX(L82:N82,$U82))/2))</f>
        <v>79.26614199229499</v>
      </c>
      <c r="Z82" s="155">
        <f t="shared" si="13"/>
        <v>0.12077511537934039</v>
      </c>
      <c r="AA82" s="158" t="str">
        <f t="shared" si="14"/>
        <v>적합</v>
      </c>
      <c r="AB82" s="158" t="s">
        <v>24</v>
      </c>
      <c r="AC82" s="178" t="str">
        <f t="shared" si="15"/>
        <v>차이</v>
      </c>
      <c r="AS82" s="155">
        <f>ABS(CHOOSE(COLUMN()-44,$G82-$H82,$F82-$H82,$F82-$G82))/MEDIAN($F82:$H82)*100+ABS(CHOOSE(COLUMN()-44,$J82-$K82,$I82-$K82,$I82-$J82))/MEDIAN($I82:$K82)*100+ABS(CHOOSE(COLUMN()-44,$M82-$N82,$L82-$N82,$L82-$M82))/MEDIAN($L82:$N82)*100</f>
        <v>1.5490674864822203</v>
      </c>
      <c r="AT82" s="155">
        <f>ABS(CHOOSE(COLUMN()-44,$G82-$H82,$F82-$H82,$F82-$G82))/MEDIAN($F82:$H82)*100+ABS(CHOOSE(COLUMN()-44,$J82-$K82,$I82-$K82,$I82-$J82))/MEDIAN($I82:$K82)*100+ABS(CHOOSE(COLUMN()-44,$M82-$N82,$L82-$N82,$L82-$M82))/MEDIAN($L82:$N82)*100</f>
        <v>1.4101862202537663</v>
      </c>
      <c r="AU82" s="155">
        <f>ABS(CHOOSE(COLUMN()-44,$G82-$H82,$F82-$H82,$F82-$G82))/MEDIAN($F82:$H82)*100+ABS(CHOOSE(COLUMN()-44,$J82-$K82,$I82-$K82,$I82-$J82))/MEDIAN($I82:$K82)*100+ABS(CHOOSE(COLUMN()-44,$M82-$N82,$L82-$N82,$L82-$M82))/MEDIAN($L82:$N82)*100</f>
        <v>1.2288271383397096</v>
      </c>
      <c r="AV82" s="155">
        <f>ABS(F82-MEDIAN($F82:$H82))/MEDIAN($F82:$H82)*100+ABS(I82-MEDIAN($I82:$K82))/MEDIAN($I82:$K82)*100</f>
        <v>0.37431687170910749</v>
      </c>
      <c r="AW82" s="155">
        <f>ABS(G82-MEDIAN($F82:$H82))/MEDIAN($F82:$H82)*100+ABS(J82-MEDIAN($I82:$K82))/MEDIAN($I82:$K82)*100</f>
        <v>0.68385420228408178</v>
      </c>
      <c r="AX82" s="155">
        <f>ABS(H82-MEDIAN($F82:$H82))/MEDIAN($F82:$H82)*100+ABS(K82-MEDIAN($I82:$K82))/MEDIAN($I82:$K82)*100</f>
        <v>0.1971572274271465</v>
      </c>
      <c r="AY82" s="182">
        <f>MATCH(MAX($AV82:$AX82),$AV82:$AX82,0)</f>
        <v>2</v>
      </c>
    </row>
    <row r="83" spans="2:51">
      <c r="B83" s="158" t="s">
        <v>47</v>
      </c>
      <c r="C83" s="158" t="s">
        <v>178</v>
      </c>
      <c r="D83" s="158">
        <v>6</v>
      </c>
      <c r="E83" s="158">
        <v>14</v>
      </c>
      <c r="F83" s="160" cm="1">
        <f t="array" ref="F83">IF($C83="Day1",INDEX('2026-07_결과정리'!$E:$G,$E83,1),INDEX('2026-07_결과정리'!$Q:$S,$E83,1))</f>
        <v>132.30241492864991</v>
      </c>
      <c r="G83" s="160" cm="1">
        <f t="array" ref="G83">IF($C83="Day1",INDEX('2026-07_결과정리'!$E:$G,$E83,2),INDEX('2026-07_결과정리'!$Q:$S,$E83,2))</f>
        <v>132.19264544456641</v>
      </c>
      <c r="H83" s="160" cm="1">
        <f t="array" ref="H83">IF($C83="Day1",INDEX('2026-07_결과정리'!$E:$G,$E83,3),INDEX('2026-07_결과정리'!$Q:$S,$E83,3))</f>
        <v>132.74149286498351</v>
      </c>
      <c r="I83" s="160" cm="1">
        <f t="array" ref="I83">IF($C83="Day1",INDEX('2026-07_결과정리'!$E:$G,$E83+8,1),INDEX('2026-07_결과정리'!$Q:$S,$E83+8,1))</f>
        <v>52.857821075740937</v>
      </c>
      <c r="J83" s="160" cm="1">
        <f t="array" ref="J83">IF($C83="Day1",INDEX('2026-07_결과정리'!$E:$G,$E83+8,2),INDEX('2026-07_결과정리'!$Q:$S,$E83+8,2))</f>
        <v>52.857821075740937</v>
      </c>
      <c r="K83" s="160" cm="1">
        <f t="array" ref="K83">IF($C83="Day1",INDEX('2026-07_결과정리'!$E:$G,$E83+8,3),INDEX('2026-07_결과정리'!$Q:$S,$E83+8,3))</f>
        <v>52.917645444566418</v>
      </c>
      <c r="L83" s="160" cm="1">
        <f t="array" ref="L83">IF($C83="Day1",INDEX('2026-07_결과정리'!$E:$G,$E83+16,1),INDEX('2026-07_결과정리'!$Q:$S,$E83+16,1))</f>
        <v>79.444593852908909</v>
      </c>
      <c r="M83" s="160" cm="1">
        <f t="array" ref="M83">IF($C83="Day1",INDEX('2026-07_결과정리'!$E:$G,$E83+16,2),INDEX('2026-07_결과정리'!$Q:$S,$E83+16,2))</f>
        <v>79.334824368825466</v>
      </c>
      <c r="N83" s="160" cm="1">
        <f t="array" ref="N83">IF($C83="Day1",INDEX('2026-07_결과정리'!$E:$G,$E83+16,3),INDEX('2026-07_결과정리'!$Q:$S,$E83+16,3))</f>
        <v>79.823847420417124</v>
      </c>
      <c r="O83" s="155">
        <f t="shared" si="7"/>
        <v>0</v>
      </c>
      <c r="P83" s="155">
        <f t="shared" si="8"/>
        <v>0</v>
      </c>
      <c r="Q83" s="155">
        <f t="shared" si="9"/>
        <v>0</v>
      </c>
      <c r="R83" s="158" t="str">
        <f>IF($C$8="ALL","없음",IF($C$8="MAN","-",IF($C$8="PAIR","R"&amp;MATCH(MIN($AS83:$AU83),$AS83:$AU83,0),IF($C$8="DIR_BF_HI","R"&amp;MATCH(MIN($F83:$H83),$F83:$H83,0),IF($C$8="DIR_BF_LO","R"&amp;MATCH(MAX($F83:$H83),$F83:$H83,0),IF($C$8="DIR_HDL_HI","R"&amp;MATCH(MIN($I83:$K83),$I83:$K83,0),IF($C$8="DIR_HDL_LO","R"&amp;MATCH(MAX($I83:$K83),$I83:$K83,0),"R"&amp;MATCH(MAX($O83:$Q83),$O83:$Q83,0))))))))</f>
        <v>R1</v>
      </c>
      <c r="S83" s="159"/>
      <c r="T83" s="158" t="str">
        <f t="shared" si="10"/>
        <v>R1</v>
      </c>
      <c r="U83" s="158">
        <f t="shared" si="11"/>
        <v>1</v>
      </c>
      <c r="V83" s="158" t="str">
        <f t="shared" si="12"/>
        <v>R2·R3</v>
      </c>
      <c r="W83" s="161" cm="1">
        <f t="array" ref="W83">IF($T83="입력 필요","-",IF($U83=0,AVERAGE(F83:H83),(SUM(F83:H83)-INDEX(F83:H83,$U83))/2))</f>
        <v>132.46706915477498</v>
      </c>
      <c r="X83" s="161" cm="1">
        <f t="array" ref="X83">IF($T83="입력 필요","-",IF($U83=0,AVERAGE(I83:K83),(SUM(I83:K83)-INDEX(I83:K83,$U83))/2))</f>
        <v>52.887733260153681</v>
      </c>
      <c r="Y83" s="161" cm="1">
        <f t="array" ref="Y83">IF($T83="입력 필요","-",IF($U83=0,AVERAGE(L83:N83),(SUM(L83:N83)-INDEX(L83:N83,$U83))/2))</f>
        <v>79.579335894621295</v>
      </c>
      <c r="Z83" s="155">
        <f t="shared" si="13"/>
        <v>0.43452425438042941</v>
      </c>
      <c r="AA83" s="158" t="str">
        <f t="shared" si="14"/>
        <v>적합</v>
      </c>
      <c r="AB83" s="158" t="s">
        <v>25</v>
      </c>
      <c r="AC83" s="178" t="str">
        <f t="shared" si="15"/>
        <v>차이</v>
      </c>
      <c r="AS83" s="155">
        <f>ABS(CHOOSE(COLUMN()-44,$G83-$H83,$F83-$H83,$F83-$G83))/MEDIAN($F83:$H83)*100+ABS(CHOOSE(COLUMN()-44,$J83-$K83,$I83-$K83,$I83-$J83))/MEDIAN($I83:$K83)*100+ABS(CHOOSE(COLUMN()-44,$M83-$N83,$L83-$N83,$L83-$M83))/MEDIAN($L83:$N83)*100</f>
        <v>1.143575205558726</v>
      </c>
      <c r="AT83" s="155">
        <f>ABS(CHOOSE(COLUMN()-44,$G83-$H83,$F83-$H83,$F83-$G83))/MEDIAN($F83:$H83)*100+ABS(CHOOSE(COLUMN()-44,$J83-$K83,$I83-$K83,$I83-$J83))/MEDIAN($I83:$K83)*100+ABS(CHOOSE(COLUMN()-44,$M83-$N83,$L83-$N83,$L83-$M83))/MEDIAN($L83:$N83)*100</f>
        <v>0.9224354697252457</v>
      </c>
      <c r="AU83" s="155">
        <f>ABS(CHOOSE(COLUMN()-44,$G83-$H83,$F83-$H83,$F83-$G83))/MEDIAN($F83:$H83)*100+ABS(CHOOSE(COLUMN()-44,$J83-$K83,$I83-$K83,$I83-$J83))/MEDIAN($I83:$K83)*100+ABS(CHOOSE(COLUMN()-44,$M83-$N83,$L83-$N83,$L83-$M83))/MEDIAN($L83:$N83)*100</f>
        <v>0.22113973583348029</v>
      </c>
      <c r="AV83" s="155">
        <f>ABS(F83-MEDIAN($F83:$H83))/MEDIAN($F83:$H83)*100+ABS(I83-MEDIAN($I83:$K83))/MEDIAN($I83:$K83)*100</f>
        <v>0</v>
      </c>
      <c r="AW83" s="155">
        <f>ABS(G83-MEDIAN($F83:$H83))/MEDIAN($F83:$H83)*100+ABS(J83-MEDIAN($I83:$K83))/MEDIAN($I83:$K83)*100</f>
        <v>8.2968617120631236E-2</v>
      </c>
      <c r="AX83" s="155">
        <f>ABS(H83-MEDIAN($F83:$H83))/MEDIAN($F83:$H83)*100+ABS(K83-MEDIAN($I83:$K83))/MEDIAN($I83:$K83)*100</f>
        <v>0.44505425457245618</v>
      </c>
      <c r="AY83" s="182">
        <f>MATCH(MAX($AV83:$AX83),$AV83:$AX83,0)</f>
        <v>3</v>
      </c>
    </row>
  </sheetData>
  <mergeCells count="1">
    <mergeCell ref="C4:G4"/>
  </mergeCells>
  <phoneticPr fontId="1" type="noConversion"/>
  <conditionalFormatting sqref="K15">
    <cfRule type="expression" dxfId="31" priority="5">
      <formula>AND($K15&lt;&gt;"",ABS($K15)&gt;$D$55)</formula>
    </cfRule>
  </conditionalFormatting>
  <conditionalFormatting sqref="K17:K18">
    <cfRule type="expression" dxfId="29" priority="7">
      <formula>AND($K17&lt;&gt;"",ABS($K17)&gt;$D$56)</formula>
    </cfRule>
  </conditionalFormatting>
  <conditionalFormatting sqref="L25:L26">
    <cfRule type="expression" dxfId="27" priority="9">
      <formula>AND($L25&lt;&gt;"",ABS($L25)&gt;$D$57)</formula>
    </cfRule>
  </conditionalFormatting>
  <conditionalFormatting sqref="K33:K34">
    <cfRule type="expression" dxfId="25" priority="11">
      <formula>AND($K33&lt;&gt;"",ABS($K33)&gt;$D$58)</formula>
    </cfRule>
  </conditionalFormatting>
  <conditionalFormatting sqref="O45:O50">
    <cfRule type="containsText" dxfId="23" priority="13" operator="containsText" text="확인">
      <formula>NOT(ISERROR(SEARCH("확인",O45)))</formula>
    </cfRule>
  </conditionalFormatting>
  <conditionalFormatting sqref="O45:O50">
    <cfRule type="containsText" dxfId="22" priority="14" operator="containsText" text="적합">
      <formula>NOT(ISERROR(SEARCH("적합",O45)))</formula>
    </cfRule>
  </conditionalFormatting>
  <conditionalFormatting sqref="AA72:AA83">
    <cfRule type="containsText" dxfId="21" priority="15" operator="containsText" text="확인">
      <formula>NOT(ISERROR(SEARCH("확인",AA72)))</formula>
    </cfRule>
  </conditionalFormatting>
  <conditionalFormatting sqref="AA72:AA83">
    <cfRule type="containsText" dxfId="20" priority="16" operator="containsText" text="적합">
      <formula>NOT(ISERROR(SEARCH("적합",AA72)))</formula>
    </cfRule>
  </conditionalFormatting>
  <conditionalFormatting sqref="AC72:AC83">
    <cfRule type="containsText" dxfId="19" priority="17" operator="containsText" text="차이">
      <formula>NOT(ISERROR(SEARCH("차이",AC72)))</formula>
    </cfRule>
  </conditionalFormatting>
  <conditionalFormatting sqref="T72:T83">
    <cfRule type="containsText" dxfId="18" priority="18" operator="containsText" text="입력 필요">
      <formula>NOT(ISERROR(SEARCH("입력 필요",T72)))</formula>
    </cfRule>
  </conditionalFormatting>
  <conditionalFormatting sqref="E15:G40">
    <cfRule type="expression" dxfId="13" priority="19">
      <formula>AND($AN15&gt;0,COLUMN()-4=$AN15)</formula>
    </cfRule>
  </conditionalFormatting>
  <conditionalFormatting sqref="E15:G40">
    <cfRule type="expression" dxfId="12" priority="20">
      <formula>AND($AN15&gt;0,COLUMN()-4&lt;&gt;$AN15)</formula>
    </cfRule>
  </conditionalFormatting>
  <conditionalFormatting sqref="U15:W40">
    <cfRule type="expression" dxfId="11" priority="21">
      <formula>AND($AO15&gt;0,COLUMN()-20=$AO15)</formula>
    </cfRule>
  </conditionalFormatting>
  <conditionalFormatting sqref="U15:W40">
    <cfRule type="expression" dxfId="10" priority="22">
      <formula>AND($AO15&gt;0,COLUMN()-20&lt;&gt;$AO15)</formula>
    </cfRule>
  </conditionalFormatting>
  <conditionalFormatting sqref="AA15">
    <cfRule type="expression" dxfId="9" priority="23">
      <formula>AND($AA15&lt;&gt;"",ABS($AA15)&gt;$D$55)</formula>
    </cfRule>
  </conditionalFormatting>
  <conditionalFormatting sqref="AA17:AA18">
    <cfRule type="expression" dxfId="8" priority="24">
      <formula>AND($AA17&lt;&gt;"",ABS($AA17)&gt;$D$56)</formula>
    </cfRule>
  </conditionalFormatting>
  <conditionalFormatting sqref="AB25:AB26">
    <cfRule type="expression" dxfId="7" priority="25">
      <formula>AND($AB25&lt;&gt;"",ABS($AB25)&gt;$D$57)</formula>
    </cfRule>
  </conditionalFormatting>
  <conditionalFormatting sqref="AA33:AA34">
    <cfRule type="expression" dxfId="6" priority="26">
      <formula>AND($AA33&lt;&gt;"",ABS($AA33)&gt;$D$58)</formula>
    </cfRule>
  </conditionalFormatting>
  <conditionalFormatting sqref="P15:P40">
    <cfRule type="expression" dxfId="5" priority="27">
      <formula>AND($P15&lt;&gt;"",$P15&lt;-0.0005)</formula>
    </cfRule>
  </conditionalFormatting>
  <conditionalFormatting sqref="P15:P40">
    <cfRule type="expression" dxfId="4" priority="28">
      <formula>AND($P15&lt;&gt;"",$P15&gt;0.0005)</formula>
    </cfRule>
  </conditionalFormatting>
  <conditionalFormatting sqref="AF15:AF40">
    <cfRule type="expression" dxfId="3" priority="29">
      <formula>AND($AF15&lt;&gt;"",$AF15&lt;-0.0005)</formula>
    </cfRule>
  </conditionalFormatting>
  <conditionalFormatting sqref="AF15:AF40">
    <cfRule type="expression" dxfId="2" priority="30">
      <formula>AND($AF15&lt;&gt;"",$AF15&gt;0.0005)</formula>
    </cfRule>
  </conditionalFormatting>
  <conditionalFormatting sqref="N15:N40">
    <cfRule type="expression" dxfId="1" priority="31">
      <formula>AND($N15&lt;&gt;"",ABS($N15)&gt;0.0001)</formula>
    </cfRule>
  </conditionalFormatting>
  <conditionalFormatting sqref="AD15:AD40">
    <cfRule type="expression" dxfId="0" priority="32">
      <formula>AND($AD15&lt;&gt;"",ABS($AD15)&gt;0.0001)</formula>
    </cfRule>
  </conditionalFormatting>
  <dataValidations count="2">
    <dataValidation type="list" allowBlank="1" showInputMessage="1" showErrorMessage="1" sqref="S72:S83" xr:uid="{BD07E01D-819C-4996-BC95-1322537BB1FC}">
      <formula1>"R1,R2,R3"</formula1>
    </dataValidation>
    <dataValidation type="list" allowBlank="1" showInputMessage="1" showErrorMessage="1" sqref="C4" xr:uid="{4B79C0D8-5BCA-4131-861E-B5E53361DC9B}">
      <formula1>$AK$4:$AK$15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검토_가이드</vt:lpstr>
      <vt:lpstr>RESULT(Conc)_DAY1</vt:lpstr>
      <vt:lpstr>RESULT(Conc)_DAY2</vt:lpstr>
      <vt:lpstr>2026-07_결과정리</vt:lpstr>
      <vt:lpstr>제출결과_선택검토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Yeo-Min Yun</cp:lastModifiedBy>
  <cp:lastPrinted>2023-07-21T04:06:48Z</cp:lastPrinted>
  <dcterms:created xsi:type="dcterms:W3CDTF">2015-07-28T07:44:44Z</dcterms:created>
  <dcterms:modified xsi:type="dcterms:W3CDTF">2026-07-25T13:46:20Z</dcterms:modified>
</cp:coreProperties>
</file>